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ilityBills" sheetId="1" state="visible" r:id="rId3"/>
  </sheets>
  <definedNames>
    <definedName function="false" hidden="false" name="Statu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<sst xmlns="http://schemas.openxmlformats.org/spreadsheetml/2006/main" count="65" uniqueCount="19">
  <si>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</si>
  <si>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</si>
  <si>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</si>
  <si>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</si>
  <si>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</si>
  <si>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</si>
  <si>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</si>
  <si>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</si>
  <si>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</si>
  <si>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</si>
  <si>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</si>
  <si>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</si>
  <si>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Totals</t>
  </si>
  <si>
    <t xml:space="preserve">Average</t>
  </si>
  <si>
    <t xml:space="preserve">Duke Energy</t>
  </si>
  <si>
    <t xml:space="preserve">Vectren</t>
  </si>
  <si>
    <t xml:space="preserve">Carmel Utilities</t>
  </si>
  <si>
    <t xml:space="preserve">Clay Township</t>
  </si>
  <si>
    <t xml:space="preserve">Centerpoint Energy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</si>
</sst>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0"/>
      <name val="Arial"/>
      <family val="0"/>
      <charset val="1"/>
    </font>
    <font>
      <sz val="11"/>
      <color rgb="FF000000"/>
      <name val="Cambria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mbria"/>
      <family val="0"/>
      <charset val="1"/>
    </font>
    <font>
      <sz val="18"/>
      <color rgb="FF000000"/>
      <name val="Roboto"/>
      <family val="2"/>
    </font>
    <font>
      <sz val="10"/>
      <color rgb="FF000000"/>
      <name val="Roboto"/>
      <family val="2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FF9900"/>
        <bgColor rgb="FFF4B4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AB30C4"/>
      <rgbColor rgb="FFF9F9F9"/>
      <rgbColor rgb="FFEFEFEF"/>
      <rgbColor rgb="FF660066"/>
      <rgbColor rgb="FFF975A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C1BC1F"/>
      <rgbColor rgb="FFF4B400"/>
      <rgbColor rgb="FFFF9900"/>
      <rgbColor rgb="FFFF6D00"/>
      <rgbColor rgb="FF666699"/>
      <rgbColor rgb="FF969696"/>
      <rgbColor rgb="FF003366"/>
      <rgbColor rgb="FF0F9D58"/>
      <rgbColor rgb="FF003300"/>
      <rgbColor rgb="FF333300"/>
      <rgbColor rgb="FF993300"/>
      <rgbColor rgb="FFDB4437"/>
      <rgbColor rgb="FF3949A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  <a:r>
              <a:rPr b="0" sz="1800" spc="-1" strike="noStrike">
                <a:solidFill>
                  <a:srgbClr val="000000"/>
                </a:solidFill>
                <a:latin typeface="Roboto"/>
                <a:ea typeface="DejaVu Sans"/>
              </a:rPr>
              <a:t>Duke Energy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UtilityBills!$B$2:$B$2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UtilityBills!$C$2:$N$2</c:f>
              <c:numCache>
                <c:formatCode>\$#,##0.00</c:formatCode>
                <c:ptCount val="12"/>
                <c:pt idx="5">
                  <c:v>45.48</c:v>
                </c:pt>
                <c:pt idx="6">
                  <c:v>60.5</c:v>
                </c:pt>
                <c:pt idx="7">
                  <c:v>70.27</c:v>
                </c:pt>
                <c:pt idx="8">
                  <c:v>62.99</c:v>
                </c:pt>
                <c:pt idx="9">
                  <c:v>40.04</c:v>
                </c:pt>
                <c:pt idx="10">
                  <c:v>56.67</c:v>
                </c:pt>
                <c:pt idx="11">
                  <c:v>70.27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UtilityBills!$B$7:$B$7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UtilityBills!$C$7:$N$7</c:f>
              <c:numCache>
                <c:formatCode>\$#,##0.00</c:formatCode>
                <c:ptCount val="12"/>
                <c:pt idx="0">
                  <c:v>81.36</c:v>
                </c:pt>
                <c:pt idx="1">
                  <c:v>68.2</c:v>
                </c:pt>
                <c:pt idx="2">
                  <c:v>64.84</c:v>
                </c:pt>
                <c:pt idx="3">
                  <c:v>67.04</c:v>
                </c:pt>
                <c:pt idx="4">
                  <c:v>62.83</c:v>
                </c:pt>
                <c:pt idx="5">
                  <c:v>76.38</c:v>
                </c:pt>
                <c:pt idx="6">
                  <c:v>113.27</c:v>
                </c:pt>
                <c:pt idx="7">
                  <c:v>108.02</c:v>
                </c:pt>
                <c:pt idx="8">
                  <c:v>104.91</c:v>
                </c:pt>
                <c:pt idx="9">
                  <c:v>76.75</c:v>
                </c:pt>
                <c:pt idx="10">
                  <c:v>64.66</c:v>
                </c:pt>
                <c:pt idx="11">
                  <c:v>72.29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UtilityBills!$B$12:$B$12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4b400"/>
            </a:solidFill>
            <a:ln w="0">
              <a:solidFill>
                <a:srgbClr val="f4b400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UtilityBills!$C$12:$N$12</c:f>
              <c:numCache>
                <c:formatCode>\$#,##0.00</c:formatCode>
                <c:ptCount val="12"/>
                <c:pt idx="0">
                  <c:v>76.06</c:v>
                </c:pt>
                <c:pt idx="1">
                  <c:v>70.51</c:v>
                </c:pt>
                <c:pt idx="2">
                  <c:v>68.93</c:v>
                </c:pt>
                <c:pt idx="3">
                  <c:v>64.93</c:v>
                </c:pt>
                <c:pt idx="4">
                  <c:v>64.93</c:v>
                </c:pt>
                <c:pt idx="5">
                  <c:v>80.08</c:v>
                </c:pt>
                <c:pt idx="6">
                  <c:v>132.16</c:v>
                </c:pt>
                <c:pt idx="7">
                  <c:v>135.14</c:v>
                </c:pt>
                <c:pt idx="8">
                  <c:v>118.24</c:v>
                </c:pt>
                <c:pt idx="9">
                  <c:v>109.73</c:v>
                </c:pt>
                <c:pt idx="10">
                  <c:v>59.73</c:v>
                </c:pt>
                <c:pt idx="11">
                  <c:v>62.19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UtilityBills!$B$22:$B$22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f9d58"/>
            </a:solidFill>
            <a:ln w="0">
              <a:solidFill>
                <a:srgbClr val="0f9d58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UtilityBills!$C$22:$N$22</c:f>
              <c:numCache>
                <c:formatCode>\$#,##0.00</c:formatCode>
                <c:ptCount val="12"/>
                <c:pt idx="0">
                  <c:v>71.39</c:v>
                </c:pt>
                <c:pt idx="1">
                  <c:v>70.6</c:v>
                </c:pt>
                <c:pt idx="2">
                  <c:v>64.33</c:v>
                </c:pt>
                <c:pt idx="3">
                  <c:v>60.4</c:v>
                </c:pt>
                <c:pt idx="4">
                  <c:v>69.52</c:v>
                </c:pt>
                <c:pt idx="5">
                  <c:v>111.82</c:v>
                </c:pt>
                <c:pt idx="6">
                  <c:v>151.44</c:v>
                </c:pt>
                <c:pt idx="7">
                  <c:v>142.19</c:v>
                </c:pt>
                <c:pt idx="8">
                  <c:v>161.56</c:v>
                </c:pt>
                <c:pt idx="9">
                  <c:v>98.49</c:v>
                </c:pt>
                <c:pt idx="10">
                  <c:v>71.51</c:v>
                </c:pt>
                <c:pt idx="11">
                  <c:v>74.47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UtilityBills!$B$27:$B$27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f6d00"/>
            </a:solidFill>
            <a:ln w="0">
              <a:solidFill>
                <a:srgbClr val="ff6d00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UtilityBills!$C$27:$N$27</c:f>
              <c:numCache>
                <c:formatCode>\$#,##0.00</c:formatCode>
                <c:ptCount val="12"/>
                <c:pt idx="0">
                  <c:v>80.76</c:v>
                </c:pt>
                <c:pt idx="1">
                  <c:v>80.8</c:v>
                </c:pt>
                <c:pt idx="2">
                  <c:v>68.68</c:v>
                </c:pt>
                <c:pt idx="3">
                  <c:v>70.95</c:v>
                </c:pt>
                <c:pt idx="4">
                  <c:v>73.77</c:v>
                </c:pt>
                <c:pt idx="5">
                  <c:v>135.41</c:v>
                </c:pt>
                <c:pt idx="6">
                  <c:v>216.47</c:v>
                </c:pt>
                <c:pt idx="7">
                  <c:v>114.54</c:v>
                </c:pt>
                <c:pt idx="8">
                  <c:v>181.76</c:v>
                </c:pt>
                <c:pt idx="9">
                  <c:v>125.15</c:v>
                </c:pt>
                <c:pt idx="10">
                  <c:v>81.86</c:v>
                </c:pt>
                <c:pt idx="11">
                  <c:v>88.59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UtilityBills!$B$27:$B$27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46bdc6"/>
            </a:solidFill>
            <a:ln w="0">
              <a:solidFill>
                <a:srgbClr val="46bdc6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UtilityBills!$C$27:$N$27</c:f>
              <c:numCache>
                <c:formatCode>\$#,##0.00</c:formatCode>
                <c:ptCount val="12"/>
                <c:pt idx="0">
                  <c:v>80.76</c:v>
                </c:pt>
                <c:pt idx="1">
                  <c:v>80.8</c:v>
                </c:pt>
                <c:pt idx="2">
                  <c:v>68.68</c:v>
                </c:pt>
                <c:pt idx="3">
                  <c:v>70.95</c:v>
                </c:pt>
                <c:pt idx="4">
                  <c:v>73.77</c:v>
                </c:pt>
                <c:pt idx="5">
                  <c:v>135.41</c:v>
                </c:pt>
                <c:pt idx="6">
                  <c:v>216.47</c:v>
                </c:pt>
                <c:pt idx="7">
                  <c:v>114.54</c:v>
                </c:pt>
                <c:pt idx="8">
                  <c:v>181.76</c:v>
                </c:pt>
                <c:pt idx="9">
                  <c:v>125.15</c:v>
                </c:pt>
                <c:pt idx="10">
                  <c:v>81.86</c:v>
                </c:pt>
                <c:pt idx="11">
                  <c:v>88.59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UtilityBills!$B$32:$B$32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ab30c4"/>
            </a:solidFill>
            <a:ln w="0">
              <a:solidFill>
                <a:srgbClr val="ab30c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UtilityBills!$C$32:$N$32</c:f>
              <c:numCache>
                <c:formatCode>\$#,##0.00</c:formatCode>
                <c:ptCount val="12"/>
                <c:pt idx="0">
                  <c:v>105.01</c:v>
                </c:pt>
                <c:pt idx="1">
                  <c:v>90.03</c:v>
                </c:pt>
                <c:pt idx="2">
                  <c:v>83.42</c:v>
                </c:pt>
                <c:pt idx="3">
                  <c:v>69.11</c:v>
                </c:pt>
                <c:pt idx="4">
                  <c:v>69.88</c:v>
                </c:pt>
                <c:pt idx="5">
                  <c:v>102.42</c:v>
                </c:pt>
                <c:pt idx="6">
                  <c:v>140.82</c:v>
                </c:pt>
                <c:pt idx="7">
                  <c:v>172.13</c:v>
                </c:pt>
                <c:pt idx="8">
                  <c:v>159.54</c:v>
                </c:pt>
                <c:pt idx="9">
                  <c:v>106.36</c:v>
                </c:pt>
                <c:pt idx="10">
                  <c:v>82.05</c:v>
                </c:pt>
                <c:pt idx="11">
                  <c:v>74.4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UtilityBills!$B$37:$B$37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1bc1f"/>
            </a:solidFill>
            <a:ln w="0">
              <a:solidFill>
                <a:srgbClr val="c1bc1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UtilityBills!$C$37:$N$37</c:f>
              <c:numCache>
                <c:formatCode>\$#,##0.00</c:formatCode>
                <c:ptCount val="12"/>
                <c:pt idx="0">
                  <c:v>61.12</c:v>
                </c:pt>
                <c:pt idx="1">
                  <c:v>73.99</c:v>
                </c:pt>
                <c:pt idx="2">
                  <c:v>74.23</c:v>
                </c:pt>
                <c:pt idx="3">
                  <c:v>71.78</c:v>
                </c:pt>
                <c:pt idx="4">
                  <c:v>94.76</c:v>
                </c:pt>
                <c:pt idx="5">
                  <c:v>86.4</c:v>
                </c:pt>
                <c:pt idx="6">
                  <c:v>141.56</c:v>
                </c:pt>
                <c:pt idx="7">
                  <c:v>137.32</c:v>
                </c:pt>
                <c:pt idx="8">
                  <c:v>136.16</c:v>
                </c:pt>
                <c:pt idx="9">
                  <c:v>103.57</c:v>
                </c:pt>
                <c:pt idx="10">
                  <c:v>78.26</c:v>
                </c:pt>
                <c:pt idx="11">
                  <c:v>79.33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UtilityBills!$B$42:$B$42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949ab"/>
            </a:solidFill>
            <a:ln w="0">
              <a:solidFill>
                <a:srgbClr val="3949ab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UtilityBills!$C$42:$N$42</c:f>
              <c:numCache>
                <c:formatCode>\$#,##0.00</c:formatCode>
                <c:ptCount val="12"/>
                <c:pt idx="0">
                  <c:v>93.33</c:v>
                </c:pt>
                <c:pt idx="1">
                  <c:v>83.19</c:v>
                </c:pt>
                <c:pt idx="2">
                  <c:v>81.95</c:v>
                </c:pt>
                <c:pt idx="3">
                  <c:v>92.36</c:v>
                </c:pt>
                <c:pt idx="4">
                  <c:v>97.71</c:v>
                </c:pt>
                <c:pt idx="5">
                  <c:v>107.1</c:v>
                </c:pt>
                <c:pt idx="6">
                  <c:v>193.18</c:v>
                </c:pt>
                <c:pt idx="7">
                  <c:v>202.41</c:v>
                </c:pt>
                <c:pt idx="8">
                  <c:v>153.7</c:v>
                </c:pt>
                <c:pt idx="9">
                  <c:v>151.22</c:v>
                </c:pt>
                <c:pt idx="10">
                  <c:v>92.7</c:v>
                </c:pt>
                <c:pt idx="11">
                  <c:v>93.24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UtilityBills!$B$47:$B$47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f975a8"/>
            </a:solidFill>
            <a:ln w="0">
              <a:solidFill>
                <a:srgbClr val="f975a8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UtilityBills!$C$47:$N$47</c:f>
              <c:numCache>
                <c:formatCode>\$#,##0.00</c:formatCode>
                <c:ptCount val="12"/>
                <c:pt idx="0">
                  <c:v>90.7</c:v>
                </c:pt>
                <c:pt idx="1">
                  <c:v>100.33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469120"/>
        <c:axId val="85979140"/>
      </c:lineChart>
      <c:catAx>
        <c:axId val="81469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85979140"/>
        <c:crosses val="autoZero"/>
        <c:auto val="1"/>
        <c:lblAlgn val="ctr"/>
        <c:lblOffset val="100"/>
        <c:noMultiLvlLbl val="0"/>
      </c:catAx>
      <c:valAx>
        <c:axId val="85979140"/>
        <c:scaling>
          <c:orientation val="minMax"/>
          <c:min val="30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81469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  <a:ea typeface="DejaVu Sans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  <a:r>
              <a:rPr b="0" sz="1800" spc="-1" strike="noStrike">
                <a:solidFill>
                  <a:srgbClr val="000000"/>
                </a:solidFill>
                <a:latin typeface="Roboto"/>
                <a:ea typeface="DejaVu Sans"/>
              </a:rPr>
              <a:t>Vectron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UtilityBills!$B$3:$B$3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UtilityBills!$C$3:$N$3</c:f>
              <c:numCache>
                <c:formatCode>\$#,##0.00</c:formatCode>
                <c:ptCount val="12"/>
                <c:pt idx="5">
                  <c:v>9.02</c:v>
                </c:pt>
                <c:pt idx="6">
                  <c:v>35.78</c:v>
                </c:pt>
                <c:pt idx="7">
                  <c:v>32.51</c:v>
                </c:pt>
                <c:pt idx="8">
                  <c:v>31.42</c:v>
                </c:pt>
                <c:pt idx="9">
                  <c:v>22.8</c:v>
                </c:pt>
                <c:pt idx="10">
                  <c:v>59.36</c:v>
                </c:pt>
                <c:pt idx="11">
                  <c:v>105.67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UtilityBills!$B$8:$B$8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UtilityBills!$C$8:$N$8</c:f>
              <c:numCache>
                <c:formatCode>\$#,##0.00</c:formatCode>
                <c:ptCount val="12"/>
                <c:pt idx="0">
                  <c:v>172.74</c:v>
                </c:pt>
                <c:pt idx="1">
                  <c:v>161.84</c:v>
                </c:pt>
                <c:pt idx="2">
                  <c:v>136.42</c:v>
                </c:pt>
                <c:pt idx="3">
                  <c:v>131.78</c:v>
                </c:pt>
                <c:pt idx="4">
                  <c:v>85.68</c:v>
                </c:pt>
                <c:pt idx="5">
                  <c:v>39.2</c:v>
                </c:pt>
                <c:pt idx="6">
                  <c:v>38.32</c:v>
                </c:pt>
                <c:pt idx="7">
                  <c:v>37</c:v>
                </c:pt>
                <c:pt idx="8">
                  <c:v>39.71</c:v>
                </c:pt>
                <c:pt idx="9">
                  <c:v>34</c:v>
                </c:pt>
                <c:pt idx="10">
                  <c:v>69.27</c:v>
                </c:pt>
                <c:pt idx="11">
                  <c:v>125.38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UtilityBills!$B$13:$B$13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4b400"/>
            </a:solidFill>
            <a:ln w="0">
              <a:solidFill>
                <a:srgbClr val="f4b400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UtilityBills!$C$13:$N$13</c:f>
              <c:numCache>
                <c:formatCode>\$#,##0.00</c:formatCode>
                <c:ptCount val="12"/>
                <c:pt idx="0">
                  <c:v>135.81</c:v>
                </c:pt>
                <c:pt idx="1">
                  <c:v>153.38</c:v>
                </c:pt>
                <c:pt idx="2">
                  <c:v>128.7</c:v>
                </c:pt>
                <c:pt idx="3">
                  <c:v>118.78</c:v>
                </c:pt>
                <c:pt idx="4">
                  <c:v>69.36</c:v>
                </c:pt>
                <c:pt idx="5">
                  <c:v>46.24</c:v>
                </c:pt>
                <c:pt idx="6">
                  <c:v>37.87</c:v>
                </c:pt>
                <c:pt idx="7">
                  <c:v>37.5</c:v>
                </c:pt>
                <c:pt idx="8">
                  <c:v>41.65</c:v>
                </c:pt>
                <c:pt idx="9">
                  <c:v>31.02</c:v>
                </c:pt>
                <c:pt idx="10">
                  <c:v>53.81</c:v>
                </c:pt>
                <c:pt idx="11">
                  <c:v>106.27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UtilityBills!$B$23:$B$23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f9d58"/>
            </a:solidFill>
            <a:ln w="0">
              <a:solidFill>
                <a:srgbClr val="0f9d58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UtilityBills!$C$23:$N$23</c:f>
              <c:numCache>
                <c:formatCode>\$#,##0.00</c:formatCode>
                <c:ptCount val="12"/>
                <c:pt idx="0">
                  <c:v>124.29</c:v>
                </c:pt>
                <c:pt idx="1">
                  <c:v>120.99</c:v>
                </c:pt>
                <c:pt idx="2">
                  <c:v>132.56</c:v>
                </c:pt>
                <c:pt idx="3">
                  <c:v>98.74</c:v>
                </c:pt>
                <c:pt idx="4">
                  <c:v>69.09</c:v>
                </c:pt>
                <c:pt idx="5">
                  <c:v>50.26</c:v>
                </c:pt>
                <c:pt idx="6">
                  <c:v>42.5</c:v>
                </c:pt>
                <c:pt idx="7">
                  <c:v>42.62</c:v>
                </c:pt>
                <c:pt idx="8">
                  <c:v>43.8</c:v>
                </c:pt>
                <c:pt idx="9">
                  <c:v>51.91</c:v>
                </c:pt>
                <c:pt idx="10">
                  <c:v>62.4</c:v>
                </c:pt>
                <c:pt idx="11">
                  <c:v>142.37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UtilityBills!$B$28:$B$28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f6d00"/>
            </a:solidFill>
            <a:ln w="0">
              <a:solidFill>
                <a:srgbClr val="ff6d00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UtilityBills!$C$28:$N$28</c:f>
              <c:numCache>
                <c:formatCode>\$#,##0.00</c:formatCode>
                <c:ptCount val="12"/>
                <c:pt idx="0">
                  <c:v>172.59</c:v>
                </c:pt>
                <c:pt idx="1">
                  <c:v>221.01</c:v>
                </c:pt>
                <c:pt idx="2">
                  <c:v>193.9</c:v>
                </c:pt>
                <c:pt idx="3">
                  <c:v>153.76</c:v>
                </c:pt>
                <c:pt idx="4">
                  <c:v>107.93</c:v>
                </c:pt>
                <c:pt idx="5">
                  <c:v>59.83</c:v>
                </c:pt>
                <c:pt idx="6">
                  <c:v>60.77</c:v>
                </c:pt>
                <c:pt idx="7">
                  <c:v>30.12</c:v>
                </c:pt>
                <c:pt idx="8">
                  <c:v>55.97</c:v>
                </c:pt>
                <c:pt idx="9">
                  <c:v>45.03</c:v>
                </c:pt>
                <c:pt idx="10">
                  <c:v>66.46</c:v>
                </c:pt>
                <c:pt idx="11">
                  <c:v>130.57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UtilityBills!$B$33:$B$33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6bdc6"/>
            </a:solidFill>
            <a:ln w="0">
              <a:solidFill>
                <a:srgbClr val="46bdc6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UtilityBills!$C$33:$N$33</c:f>
              <c:numCache>
                <c:formatCode>\$#,##0.00</c:formatCode>
                <c:ptCount val="12"/>
                <c:pt idx="0">
                  <c:v>215.35</c:v>
                </c:pt>
                <c:pt idx="1">
                  <c:v>82.22</c:v>
                </c:pt>
                <c:pt idx="2">
                  <c:v>47.43</c:v>
                </c:pt>
                <c:pt idx="3">
                  <c:v>32.85</c:v>
                </c:pt>
                <c:pt idx="4">
                  <c:v>35.59</c:v>
                </c:pt>
                <c:pt idx="5">
                  <c:v>35.83</c:v>
                </c:pt>
                <c:pt idx="6">
                  <c:v>40.42</c:v>
                </c:pt>
                <c:pt idx="7">
                  <c:v>42.14</c:v>
                </c:pt>
                <c:pt idx="8">
                  <c:v>62.19</c:v>
                </c:pt>
                <c:pt idx="9">
                  <c:v>127.42</c:v>
                </c:pt>
                <c:pt idx="10">
                  <c:v>146.44</c:v>
                </c:pt>
                <c:pt idx="11">
                  <c:v>181.71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UtilityBills!$B$38:$B$38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b30c4"/>
            </a:solidFill>
            <a:ln w="0">
              <a:solidFill>
                <a:srgbClr val="ab30c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UtilityBills!$C$38:$N$38</c:f>
              <c:numCache>
                <c:formatCode>\$#,##0.00</c:formatCode>
                <c:ptCount val="12"/>
                <c:pt idx="0">
                  <c:v>104.41</c:v>
                </c:pt>
                <c:pt idx="1">
                  <c:v>143.63</c:v>
                </c:pt>
                <c:pt idx="2">
                  <c:v>115.67</c:v>
                </c:pt>
                <c:pt idx="3">
                  <c:v>83.08</c:v>
                </c:pt>
                <c:pt idx="4">
                  <c:v>50.28</c:v>
                </c:pt>
                <c:pt idx="5">
                  <c:v>32.67</c:v>
                </c:pt>
                <c:pt idx="6">
                  <c:v>32.6</c:v>
                </c:pt>
                <c:pt idx="7">
                  <c:v>31.55</c:v>
                </c:pt>
                <c:pt idx="8">
                  <c:v>33.5</c:v>
                </c:pt>
                <c:pt idx="9">
                  <c:v>29.71</c:v>
                </c:pt>
                <c:pt idx="10">
                  <c:v>42.64</c:v>
                </c:pt>
                <c:pt idx="11">
                  <c:v>88.1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UtilityBills!$B$43:$B$43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1bc1f"/>
            </a:solidFill>
            <a:ln w="0">
              <a:solidFill>
                <a:srgbClr val="c1bc1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UtilityBills!$C$43:$N$43</c:f>
              <c:numCache>
                <c:formatCode>\$#,##0.00</c:formatCode>
                <c:ptCount val="12"/>
                <c:pt idx="0">
                  <c:v>118.42</c:v>
                </c:pt>
                <c:pt idx="1">
                  <c:v>171.86</c:v>
                </c:pt>
                <c:pt idx="2">
                  <c:v>135.86</c:v>
                </c:pt>
                <c:pt idx="3">
                  <c:v>87.5</c:v>
                </c:pt>
                <c:pt idx="4">
                  <c:v>64.38</c:v>
                </c:pt>
                <c:pt idx="5">
                  <c:v>37.49</c:v>
                </c:pt>
                <c:pt idx="6">
                  <c:v>39.03</c:v>
                </c:pt>
                <c:pt idx="7">
                  <c:v>49.73</c:v>
                </c:pt>
                <c:pt idx="8">
                  <c:v>47.43</c:v>
                </c:pt>
                <c:pt idx="9">
                  <c:v>39.8</c:v>
                </c:pt>
                <c:pt idx="10">
                  <c:v>50.44</c:v>
                </c:pt>
                <c:pt idx="11">
                  <c:v>97.77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UtilityBills!$B$48:$B$48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3949ab"/>
            </a:solidFill>
            <a:ln w="0">
              <a:solidFill>
                <a:srgbClr val="3949ab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UtilityBills!$D$1:$N$1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UtilityBills!$C$48:$N$48</c:f>
              <c:numCache>
                <c:formatCode>\$#,##0.00</c:formatCode>
                <c:ptCount val="12"/>
                <c:pt idx="0">
                  <c:v>160.38</c:v>
                </c:pt>
                <c:pt idx="1">
                  <c:v>177.45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509158"/>
        <c:axId val="96310069"/>
      </c:lineChart>
      <c:catAx>
        <c:axId val="205091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96310069"/>
        <c:crosses val="autoZero"/>
        <c:auto val="1"/>
        <c:lblAlgn val="ctr"/>
        <c:lblOffset val="100"/>
        <c:noMultiLvlLbl val="0"/>
      </c:catAx>
      <c:valAx>
        <c:axId val="96310069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20509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  <a:ea typeface="DejaVu Sans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  <a:r>
              <a:rPr b="0" sz="1800" spc="-1" strike="noStrike">
                <a:solidFill>
                  <a:srgbClr val="000000"/>
                </a:solidFill>
                <a:latin typeface="Roboto"/>
                <a:ea typeface="DejaVu Sans"/>
              </a:rPr>
              <a:t>Totals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UtilityBills!$B$53:$B$53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UtilityBills!$C$53:$N$53</c:f>
              <c:numCache>
                <c:formatCode>\$#,##0.00</c:formatCode>
                <c:ptCount val="12"/>
                <c:pt idx="5">
                  <c:v>146.71</c:v>
                </c:pt>
                <c:pt idx="6">
                  <c:v>171.44</c:v>
                </c:pt>
                <c:pt idx="7">
                  <c:v>177.94</c:v>
                </c:pt>
                <c:pt idx="8">
                  <c:v>163.67</c:v>
                </c:pt>
                <c:pt idx="9">
                  <c:v>135.05</c:v>
                </c:pt>
                <c:pt idx="10">
                  <c:v>188.24</c:v>
                </c:pt>
                <c:pt idx="11">
                  <c:v>252.05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UtilityBills!$B$54:$B$54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UtilityBills!$C$54:$N$54</c:f>
              <c:numCache>
                <c:formatCode>\$#,##0.00</c:formatCode>
                <c:ptCount val="12"/>
                <c:pt idx="0">
                  <c:v>332.22</c:v>
                </c:pt>
                <c:pt idx="1">
                  <c:v>311.27</c:v>
                </c:pt>
                <c:pt idx="2">
                  <c:v>283.78</c:v>
                </c:pt>
                <c:pt idx="3">
                  <c:v>278.31</c:v>
                </c:pt>
                <c:pt idx="4">
                  <c:v>227.99</c:v>
                </c:pt>
                <c:pt idx="5">
                  <c:v>195.06</c:v>
                </c:pt>
                <c:pt idx="6">
                  <c:v>231.07</c:v>
                </c:pt>
                <c:pt idx="7">
                  <c:v>218.9</c:v>
                </c:pt>
                <c:pt idx="8">
                  <c:v>218.5</c:v>
                </c:pt>
                <c:pt idx="9">
                  <c:v>184.63</c:v>
                </c:pt>
                <c:pt idx="10">
                  <c:v>207.81</c:v>
                </c:pt>
                <c:pt idx="11">
                  <c:v>271.55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UtilityBills!$B$55:$B$55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4b400"/>
            </a:solidFill>
            <a:ln w="0">
              <a:solidFill>
                <a:srgbClr val="f4b400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UtilityBills!$C$55:$N$55</c:f>
              <c:numCache>
                <c:formatCode>\$#,##0.00</c:formatCode>
                <c:ptCount val="12"/>
                <c:pt idx="0">
                  <c:v>290.33</c:v>
                </c:pt>
                <c:pt idx="1">
                  <c:v>299.22</c:v>
                </c:pt>
                <c:pt idx="2">
                  <c:v>276.09</c:v>
                </c:pt>
                <c:pt idx="3">
                  <c:v>262.17</c:v>
                </c:pt>
                <c:pt idx="4">
                  <c:v>212.75</c:v>
                </c:pt>
                <c:pt idx="5">
                  <c:v>201.65</c:v>
                </c:pt>
                <c:pt idx="6">
                  <c:v>248.49</c:v>
                </c:pt>
                <c:pt idx="7">
                  <c:v>251.39</c:v>
                </c:pt>
                <c:pt idx="8">
                  <c:v>232.37</c:v>
                </c:pt>
                <c:pt idx="9">
                  <c:v>219.5</c:v>
                </c:pt>
                <c:pt idx="10">
                  <c:v>190.91</c:v>
                </c:pt>
                <c:pt idx="11">
                  <c:v>245.67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UtilityBills!$B$56:$B$56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f9d58"/>
            </a:solidFill>
            <a:ln w="0">
              <a:solidFill>
                <a:srgbClr val="0f9d58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UtilityBills!$C$56:$N$56</c:f>
              <c:numCache>
                <c:formatCode>\$#,##0.00</c:formatCode>
                <c:ptCount val="12"/>
                <c:pt idx="0">
                  <c:v>255.5</c:v>
                </c:pt>
                <c:pt idx="1">
                  <c:v>270.81</c:v>
                </c:pt>
                <c:pt idx="2">
                  <c:v>252.4</c:v>
                </c:pt>
                <c:pt idx="3">
                  <c:v>230.7</c:v>
                </c:pt>
                <c:pt idx="4">
                  <c:v>201.54</c:v>
                </c:pt>
                <c:pt idx="5">
                  <c:v>217.98</c:v>
                </c:pt>
                <c:pt idx="6">
                  <c:v>260.8</c:v>
                </c:pt>
                <c:pt idx="7">
                  <c:v>267.34</c:v>
                </c:pt>
                <c:pt idx="8">
                  <c:v>264.55</c:v>
                </c:pt>
                <c:pt idx="9">
                  <c:v>226.05</c:v>
                </c:pt>
                <c:pt idx="10">
                  <c:v>202.12</c:v>
                </c:pt>
                <c:pt idx="11">
                  <c:v>242.33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UtilityBills!$B$57:$B$57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6d00"/>
            </a:solidFill>
            <a:ln w="0">
              <a:solidFill>
                <a:srgbClr val="ff6d00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UtilityBills!$C$57:$N$57</c:f>
              <c:numCache>
                <c:formatCode>\$#,##0.00</c:formatCode>
                <c:ptCount val="12"/>
                <c:pt idx="0">
                  <c:v>285.41</c:v>
                </c:pt>
                <c:pt idx="1">
                  <c:v>278.26</c:v>
                </c:pt>
                <c:pt idx="2">
                  <c:v>285.09</c:v>
                </c:pt>
                <c:pt idx="3">
                  <c:v>250.67</c:v>
                </c:pt>
                <c:pt idx="4">
                  <c:v>223.48</c:v>
                </c:pt>
                <c:pt idx="5">
                  <c:v>253.61</c:v>
                </c:pt>
                <c:pt idx="6">
                  <c:v>288.33</c:v>
                </c:pt>
                <c:pt idx="7">
                  <c:v>279.2</c:v>
                </c:pt>
                <c:pt idx="8">
                  <c:v>296.42</c:v>
                </c:pt>
                <c:pt idx="9">
                  <c:v>248.11</c:v>
                </c:pt>
                <c:pt idx="10">
                  <c:v>224.97</c:v>
                </c:pt>
                <c:pt idx="11">
                  <c:v>311.23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UtilityBills!$B$58:$B$58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46bdc6"/>
            </a:solidFill>
            <a:ln w="0">
              <a:solidFill>
                <a:srgbClr val="46bdc6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UtilityBills!$C$58:$N$58</c:f>
              <c:numCache>
                <c:formatCode>\$#,##0.00</c:formatCode>
                <c:ptCount val="12"/>
                <c:pt idx="0">
                  <c:v>347.74</c:v>
                </c:pt>
                <c:pt idx="1">
                  <c:v>399.7</c:v>
                </c:pt>
                <c:pt idx="2">
                  <c:v>358.8</c:v>
                </c:pt>
                <c:pt idx="3">
                  <c:v>320.93</c:v>
                </c:pt>
                <c:pt idx="4">
                  <c:v>277.92</c:v>
                </c:pt>
                <c:pt idx="5">
                  <c:v>291.46</c:v>
                </c:pt>
                <c:pt idx="6">
                  <c:v>370.04</c:v>
                </c:pt>
                <c:pt idx="7">
                  <c:v>237.46</c:v>
                </c:pt>
                <c:pt idx="8">
                  <c:v>316.72</c:v>
                </c:pt>
                <c:pt idx="9">
                  <c:v>262.7</c:v>
                </c:pt>
                <c:pt idx="10">
                  <c:v>244.22</c:v>
                </c:pt>
                <c:pt idx="11">
                  <c:v>318.44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UtilityBills!$B$59:$B$59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ab30c4"/>
            </a:solidFill>
            <a:ln w="0">
              <a:solidFill>
                <a:srgbClr val="ab30c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UtilityBills!$C$59:$N$59</c:f>
              <c:numCache>
                <c:formatCode>\$#,##0.00</c:formatCode>
                <c:ptCount val="12"/>
                <c:pt idx="0">
                  <c:v>419.64</c:v>
                </c:pt>
                <c:pt idx="1">
                  <c:v>271.71</c:v>
                </c:pt>
                <c:pt idx="2">
                  <c:v>228.51</c:v>
                </c:pt>
                <c:pt idx="3">
                  <c:v>203.1</c:v>
                </c:pt>
                <c:pt idx="4">
                  <c:v>199.65</c:v>
                </c:pt>
                <c:pt idx="5">
                  <c:v>235.91</c:v>
                </c:pt>
                <c:pt idx="6">
                  <c:v>282.38</c:v>
                </c:pt>
                <c:pt idx="7">
                  <c:v>318.88</c:v>
                </c:pt>
                <c:pt idx="8">
                  <c:v>322.87</c:v>
                </c:pt>
                <c:pt idx="9">
                  <c:v>327.96</c:v>
                </c:pt>
                <c:pt idx="10">
                  <c:v>322.67</c:v>
                </c:pt>
                <c:pt idx="11">
                  <c:v>353.77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UtilityBills!$B$60:$B$60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1bc1f"/>
            </a:solidFill>
            <a:ln w="0">
              <a:solidFill>
                <a:srgbClr val="c1bc1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UtilityBills!$C$60:$N$60</c:f>
              <c:numCache>
                <c:formatCode>\$#,##0.00</c:formatCode>
                <c:ptCount val="12"/>
                <c:pt idx="0">
                  <c:v>259.71</c:v>
                </c:pt>
                <c:pt idx="1">
                  <c:v>308.51</c:v>
                </c:pt>
                <c:pt idx="2">
                  <c:v>282.18</c:v>
                </c:pt>
                <c:pt idx="3">
                  <c:v>268.82</c:v>
                </c:pt>
                <c:pt idx="4">
                  <c:v>254.3</c:v>
                </c:pt>
                <c:pt idx="5">
                  <c:v>228.33</c:v>
                </c:pt>
                <c:pt idx="6">
                  <c:v>284.63</c:v>
                </c:pt>
                <c:pt idx="7">
                  <c:v>284.04</c:v>
                </c:pt>
                <c:pt idx="8">
                  <c:v>275.44</c:v>
                </c:pt>
                <c:pt idx="9">
                  <c:v>248.45</c:v>
                </c:pt>
                <c:pt idx="10">
                  <c:v>226.68</c:v>
                </c:pt>
                <c:pt idx="11">
                  <c:v>277.9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UtilityBills!$B$61:$B$61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949ab"/>
            </a:solidFill>
            <a:ln w="0">
              <a:solidFill>
                <a:srgbClr val="3949ab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UtilityBills!$C$61:$N$61</c:f>
              <c:numCache>
                <c:formatCode>\$#,##0.00</c:formatCode>
                <c:ptCount val="12"/>
                <c:pt idx="0">
                  <c:v>326.92</c:v>
                </c:pt>
                <c:pt idx="1">
                  <c:v>375.11</c:v>
                </c:pt>
                <c:pt idx="2">
                  <c:v>330.68</c:v>
                </c:pt>
                <c:pt idx="3">
                  <c:v>292.73</c:v>
                </c:pt>
                <c:pt idx="4">
                  <c:v>270.12</c:v>
                </c:pt>
                <c:pt idx="5">
                  <c:v>252.62</c:v>
                </c:pt>
                <c:pt idx="6">
                  <c:v>345.08</c:v>
                </c:pt>
                <c:pt idx="7">
                  <c:v>365.37</c:v>
                </c:pt>
                <c:pt idx="8">
                  <c:v>319.2</c:v>
                </c:pt>
                <c:pt idx="9">
                  <c:v>304.25</c:v>
                </c:pt>
                <c:pt idx="10">
                  <c:v>251.54</c:v>
                </c:pt>
                <c:pt idx="11">
                  <c:v>331.57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UtilityBills!$B$62:$B$62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f975a8"/>
            </a:solidFill>
            <a:ln w="0">
              <a:solidFill>
                <a:srgbClr val="f975a8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UtilityBills!$C$1:$N$1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UtilityBills!$C$62:$N$62</c:f>
              <c:numCache>
                <c:formatCode>\$#,##0.00</c:formatCode>
                <c:ptCount val="12"/>
                <c:pt idx="0">
                  <c:v>532.84</c:v>
                </c:pt>
                <c:pt idx="1">
                  <c:v>415.23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046909"/>
        <c:axId val="64314983"/>
      </c:lineChart>
      <c:catAx>
        <c:axId val="560469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64314983"/>
        <c:crosses val="autoZero"/>
        <c:auto val="1"/>
        <c:lblAlgn val="ctr"/>
        <c:lblOffset val="100"/>
        <c:noMultiLvlLbl val="0"/>
      </c:catAx>
      <c:valAx>
        <c:axId val="64314983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56046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  <a:ea typeface="DejaVu Sans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523800</xdr:colOff>
      <xdr:row>0</xdr:row>
      <xdr:rowOff>85680</xdr:rowOff>
    </xdr:from>
    <xdr:to>
      <xdr:col>28</xdr:col>
      <xdr:colOff>108000</xdr:colOff>
      <xdr:row>18</xdr:row>
      <xdr:rowOff>46800</xdr:rowOff>
    </xdr:to>
    <xdr:graphicFrame>
      <xdr:nvGraphicFramePr>
        <xdr:cNvPr id="0" name="Chart 2"/>
        <xdr:cNvGraphicFramePr/>
      </xdr:nvGraphicFramePr>
      <xdr:xfrm>
        <a:off x="10405800" y="85680"/>
        <a:ext cx="10267200" cy="356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523800</xdr:colOff>
      <xdr:row>19</xdr:row>
      <xdr:rowOff>66600</xdr:rowOff>
    </xdr:from>
    <xdr:to>
      <xdr:col>24</xdr:col>
      <xdr:colOff>849600</xdr:colOff>
      <xdr:row>38</xdr:row>
      <xdr:rowOff>56160</xdr:rowOff>
    </xdr:to>
    <xdr:graphicFrame>
      <xdr:nvGraphicFramePr>
        <xdr:cNvPr id="1" name="Chart 3"/>
        <xdr:cNvGraphicFramePr/>
      </xdr:nvGraphicFramePr>
      <xdr:xfrm>
        <a:off x="10405800" y="3867120"/>
        <a:ext cx="7447680" cy="379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19080</xdr:colOff>
      <xdr:row>67</xdr:row>
      <xdr:rowOff>19080</xdr:rowOff>
    </xdr:from>
    <xdr:to>
      <xdr:col>16</xdr:col>
      <xdr:colOff>723240</xdr:colOff>
      <xdr:row>86</xdr:row>
      <xdr:rowOff>8640</xdr:rowOff>
    </xdr:to>
    <xdr:graphicFrame>
      <xdr:nvGraphicFramePr>
        <xdr:cNvPr id="2" name="Chart 4"/>
        <xdr:cNvGraphicFramePr/>
      </xdr:nvGraphicFramePr>
      <xdr:xfrm>
        <a:off x="909360" y="13420800"/>
        <a:ext cx="9695880" cy="379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5.63"/>
    <col collapsed="false" customWidth="true" hidden="false" outlineLevel="0" max="4" min="3" style="1" width="8.88"/>
    <col collapsed="false" customWidth="true" hidden="false" outlineLevel="0" max="5" min="5" style="1" width="7.88"/>
    <col collapsed="false" customWidth="true" hidden="false" outlineLevel="0" max="7" min="6" style="1" width="7.38"/>
    <col collapsed="false" customWidth="true" hidden="false" outlineLevel="0" max="8" min="8" style="1" width="7.88"/>
    <col collapsed="false" customWidth="true" hidden="false" outlineLevel="0" max="9" min="9" style="1" width="8"/>
    <col collapsed="false" customWidth="true" hidden="false" outlineLevel="0" max="10" min="10" style="1" width="8.13"/>
    <col collapsed="false" customWidth="true" hidden="false" outlineLevel="0" max="11" min="11" style="1" width="9.88"/>
    <col collapsed="false" customWidth="true" hidden="false" outlineLevel="0" max="12" min="12" style="1" width="8.5"/>
    <col collapsed="false" customWidth="true" hidden="false" outlineLevel="0" max="13" min="13" style="1" width="10.13"/>
    <col collapsed="false" customWidth="true" hidden="false" outlineLevel="0" max="14" min="14" style="1" width="9.38"/>
    <col collapsed="false" customWidth="true" hidden="false" outlineLevel="0" max="15" min="15" style="1" width="10.25"/>
    <col collapsed="false" customWidth="true" hidden="false" outlineLevel="0" max="16" min="16" style="1" width="9.38"/>
  </cols>
  <sheetData>
    <row r="1" customFormat="false" ht="15.75" hidden="false" customHeight="false" outlineLevel="0" collapsed="false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3" t="s">
        <v>13</v>
      </c>
      <c r="Q1" s="4"/>
    </row>
    <row r="2" customFormat="false" ht="15.75" hidden="false" customHeight="false" outlineLevel="0" collapsed="false">
      <c r="A2" s="4" t="s">
        <v>14</v>
      </c>
      <c r="B2" s="4" t="n">
        <v>2017</v>
      </c>
      <c r="C2" s="5"/>
      <c r="D2" s="5"/>
      <c r="E2" s="5"/>
      <c r="F2" s="5"/>
      <c r="G2" s="5"/>
      <c r="H2" s="5" t="n">
        <v>45.48</v>
      </c>
      <c r="I2" s="5" t="n">
        <v>60.5</v>
      </c>
      <c r="J2" s="5" t="n">
        <v>70.27</v>
      </c>
      <c r="K2" s="5" t="n">
        <v>62.99</v>
      </c>
      <c r="L2" s="5" t="n">
        <v>40.04</v>
      </c>
      <c r="M2" s="5" t="n">
        <v>56.67</v>
      </c>
      <c r="N2" s="6" t="n">
        <v>70.27</v>
      </c>
      <c r="O2" s="7" t="n">
        <f aca="false">SUM(C2:N2)</f>
        <v>406.22</v>
      </c>
      <c r="P2" s="7" t="n">
        <f aca="false">AVERAGE(C2:N2)</f>
        <v>58.0314285714286</v>
      </c>
    </row>
    <row r="3" customFormat="false" ht="15.75" hidden="false" customHeight="false" outlineLevel="0" collapsed="false">
      <c r="A3" s="4" t="s">
        <v>15</v>
      </c>
      <c r="B3" s="4" t="n">
        <v>2017</v>
      </c>
      <c r="C3" s="5"/>
      <c r="D3" s="5"/>
      <c r="E3" s="5"/>
      <c r="F3" s="5"/>
      <c r="G3" s="5"/>
      <c r="H3" s="5" t="n">
        <v>9.02</v>
      </c>
      <c r="I3" s="8" t="n">
        <v>35.78</v>
      </c>
      <c r="J3" s="9" t="n">
        <v>32.51</v>
      </c>
      <c r="K3" s="8" t="n">
        <v>31.42</v>
      </c>
      <c r="L3" s="9" t="n">
        <v>22.8</v>
      </c>
      <c r="M3" s="8" t="n">
        <v>59.36</v>
      </c>
      <c r="N3" s="6" t="n">
        <v>105.67</v>
      </c>
      <c r="O3" s="7" t="n">
        <f aca="false">SUM(C3:N3)</f>
        <v>296.56</v>
      </c>
      <c r="P3" s="7" t="n">
        <f aca="false">AVERAGE(C3:N3)</f>
        <v>42.3657142857143</v>
      </c>
    </row>
    <row r="4" customFormat="false" ht="15.75" hidden="false" customHeight="false" outlineLevel="0" collapsed="false">
      <c r="A4" s="4" t="s">
        <v>16</v>
      </c>
      <c r="B4" s="4" t="n">
        <v>2017</v>
      </c>
      <c r="C4" s="5"/>
      <c r="D4" s="5"/>
      <c r="E4" s="5"/>
      <c r="F4" s="5"/>
      <c r="G4" s="5"/>
      <c r="H4" s="5" t="n">
        <v>60.29</v>
      </c>
      <c r="I4" s="5" t="n">
        <v>43.24</v>
      </c>
      <c r="J4" s="5" t="n">
        <v>43.24</v>
      </c>
      <c r="K4" s="5" t="n">
        <v>37.34</v>
      </c>
      <c r="L4" s="5" t="n">
        <v>40.29</v>
      </c>
      <c r="M4" s="5" t="n">
        <v>40.29</v>
      </c>
      <c r="N4" s="6" t="n">
        <v>44.19</v>
      </c>
      <c r="O4" s="7" t="n">
        <f aca="false">SUM(C4:N4)</f>
        <v>308.88</v>
      </c>
      <c r="P4" s="7" t="n">
        <f aca="false">AVERAGE(C4:N4)</f>
        <v>44.1257142857143</v>
      </c>
    </row>
    <row r="5" customFormat="false" ht="15.75" hidden="false" customHeight="false" outlineLevel="0" collapsed="false">
      <c r="A5" s="4" t="s">
        <v>17</v>
      </c>
      <c r="B5" s="4" t="n">
        <v>2017</v>
      </c>
      <c r="C5" s="5"/>
      <c r="D5" s="5"/>
      <c r="E5" s="5"/>
      <c r="F5" s="5"/>
      <c r="G5" s="5"/>
      <c r="H5" s="5" t="n">
        <v>31.92</v>
      </c>
      <c r="I5" s="5" t="n">
        <v>31.92</v>
      </c>
      <c r="J5" s="5" t="n">
        <v>31.92</v>
      </c>
      <c r="K5" s="5" t="n">
        <v>31.92</v>
      </c>
      <c r="L5" s="5" t="n">
        <v>31.92</v>
      </c>
      <c r="M5" s="5" t="n">
        <v>31.92</v>
      </c>
      <c r="N5" s="6" t="n">
        <v>31.92</v>
      </c>
      <c r="O5" s="7" t="n">
        <f aca="false">SUM(C5:N5)</f>
        <v>223.44</v>
      </c>
      <c r="P5" s="7" t="n">
        <f aca="false">AVERAGE(C5:N5)</f>
        <v>31.92</v>
      </c>
    </row>
    <row r="6" customFormat="false" ht="15.75" hidden="false" customHeight="false" outlineLevel="0" collapsed="false">
      <c r="A6" s="4"/>
      <c r="B6" s="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  <c r="P6" s="11"/>
    </row>
    <row r="7" customFormat="false" ht="15.75" hidden="false" customHeight="false" outlineLevel="0" collapsed="false">
      <c r="A7" s="4" t="s">
        <v>14</v>
      </c>
      <c r="B7" s="4" t="n">
        <v>2018</v>
      </c>
      <c r="C7" s="10" t="n">
        <v>81.36</v>
      </c>
      <c r="D7" s="10" t="n">
        <v>68.2</v>
      </c>
      <c r="E7" s="10" t="n">
        <v>64.84</v>
      </c>
      <c r="F7" s="10" t="n">
        <v>67.04</v>
      </c>
      <c r="G7" s="10" t="n">
        <v>62.83</v>
      </c>
      <c r="H7" s="10" t="n">
        <v>76.38</v>
      </c>
      <c r="I7" s="10" t="n">
        <v>113.27</v>
      </c>
      <c r="J7" s="10" t="n">
        <v>108.02</v>
      </c>
      <c r="K7" s="10" t="n">
        <v>104.91</v>
      </c>
      <c r="L7" s="10" t="n">
        <v>76.75</v>
      </c>
      <c r="M7" s="10" t="n">
        <v>64.66</v>
      </c>
      <c r="N7" s="10" t="n">
        <v>72.29</v>
      </c>
      <c r="O7" s="7" t="n">
        <f aca="false">SUM(C7:N7)</f>
        <v>960.55</v>
      </c>
      <c r="P7" s="7" t="n">
        <f aca="false">AVERAGE(C7:N7)</f>
        <v>80.0458333333333</v>
      </c>
    </row>
    <row r="8" customFormat="false" ht="15.75" hidden="false" customHeight="false" outlineLevel="0" collapsed="false">
      <c r="A8" s="4" t="s">
        <v>15</v>
      </c>
      <c r="B8" s="4" t="n">
        <v>2018</v>
      </c>
      <c r="C8" s="10" t="n">
        <v>172.74</v>
      </c>
      <c r="D8" s="10" t="n">
        <v>161.84</v>
      </c>
      <c r="E8" s="10" t="n">
        <v>136.42</v>
      </c>
      <c r="F8" s="10" t="n">
        <v>131.78</v>
      </c>
      <c r="G8" s="10" t="n">
        <v>85.68</v>
      </c>
      <c r="H8" s="10" t="n">
        <v>39.2</v>
      </c>
      <c r="I8" s="10" t="n">
        <v>38.32</v>
      </c>
      <c r="J8" s="10" t="n">
        <v>37</v>
      </c>
      <c r="K8" s="10" t="n">
        <v>39.71</v>
      </c>
      <c r="L8" s="10" t="n">
        <v>34</v>
      </c>
      <c r="M8" s="10" t="n">
        <v>69.27</v>
      </c>
      <c r="N8" s="10" t="n">
        <v>125.38</v>
      </c>
      <c r="O8" s="7" t="n">
        <f aca="false">SUM(C8:N8)</f>
        <v>1071.34</v>
      </c>
      <c r="P8" s="7" t="n">
        <f aca="false">AVERAGE(C8:N8)</f>
        <v>89.2783333333333</v>
      </c>
    </row>
    <row r="9" customFormat="false" ht="15.75" hidden="false" customHeight="false" outlineLevel="0" collapsed="false">
      <c r="A9" s="4" t="s">
        <v>16</v>
      </c>
      <c r="B9" s="4" t="n">
        <v>2018</v>
      </c>
      <c r="C9" s="10" t="n">
        <v>46.2</v>
      </c>
      <c r="D9" s="10" t="n">
        <v>49.31</v>
      </c>
      <c r="E9" s="10" t="n">
        <v>50.6</v>
      </c>
      <c r="F9" s="10" t="n">
        <v>47.56</v>
      </c>
      <c r="G9" s="10" t="n">
        <v>47.56</v>
      </c>
      <c r="H9" s="10" t="n">
        <v>47.56</v>
      </c>
      <c r="I9" s="10" t="n">
        <v>47.56</v>
      </c>
      <c r="J9" s="10" t="n">
        <v>47.56</v>
      </c>
      <c r="K9" s="10" t="n">
        <v>47.56</v>
      </c>
      <c r="L9" s="10" t="n">
        <v>47.56</v>
      </c>
      <c r="M9" s="10" t="n">
        <v>47.56</v>
      </c>
      <c r="N9" s="10" t="n">
        <v>47.56</v>
      </c>
      <c r="O9" s="7" t="n">
        <f aca="false">SUM(C9:N9)</f>
        <v>574.15</v>
      </c>
      <c r="P9" s="7" t="n">
        <f aca="false">AVERAGE(C9:N9)</f>
        <v>47.8458333333333</v>
      </c>
    </row>
    <row r="10" customFormat="false" ht="15.75" hidden="false" customHeight="false" outlineLevel="0" collapsed="false">
      <c r="A10" s="4" t="s">
        <v>17</v>
      </c>
      <c r="B10" s="4" t="n">
        <v>2018</v>
      </c>
      <c r="C10" s="10" t="n">
        <v>31.92</v>
      </c>
      <c r="D10" s="10" t="n">
        <v>31.92</v>
      </c>
      <c r="E10" s="10" t="n">
        <v>31.92</v>
      </c>
      <c r="F10" s="10" t="n">
        <v>31.93</v>
      </c>
      <c r="G10" s="10" t="n">
        <v>31.92</v>
      </c>
      <c r="H10" s="10" t="n">
        <v>31.92</v>
      </c>
      <c r="I10" s="10" t="n">
        <v>31.92</v>
      </c>
      <c r="J10" s="10" t="n">
        <v>26.32</v>
      </c>
      <c r="K10" s="10" t="n">
        <v>26.32</v>
      </c>
      <c r="L10" s="10" t="n">
        <v>26.32</v>
      </c>
      <c r="M10" s="10" t="n">
        <v>26.32</v>
      </c>
      <c r="N10" s="10" t="n">
        <v>26.32</v>
      </c>
      <c r="O10" s="7" t="n">
        <f aca="false">SUM(C10:N10)</f>
        <v>355.05</v>
      </c>
      <c r="P10" s="7" t="n">
        <f aca="false">AVERAGE(C10:N10)</f>
        <v>29.5875</v>
      </c>
    </row>
    <row r="11" customFormat="false" ht="15.75" hidden="false" customHeight="false" outlineLevel="0" collapsed="false">
      <c r="A11" s="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1"/>
      <c r="P11" s="11"/>
    </row>
    <row r="12" customFormat="false" ht="15.75" hidden="false" customHeight="false" outlineLevel="0" collapsed="false">
      <c r="A12" s="4" t="s">
        <v>14</v>
      </c>
      <c r="B12" s="4" t="n">
        <v>2019</v>
      </c>
      <c r="C12" s="12" t="n">
        <v>76.06</v>
      </c>
      <c r="D12" s="12" t="n">
        <v>70.51</v>
      </c>
      <c r="E12" s="12" t="n">
        <v>68.93</v>
      </c>
      <c r="F12" s="12" t="n">
        <v>64.93</v>
      </c>
      <c r="G12" s="12" t="n">
        <v>64.93</v>
      </c>
      <c r="H12" s="12" t="n">
        <v>80.08</v>
      </c>
      <c r="I12" s="12" t="n">
        <v>132.16</v>
      </c>
      <c r="J12" s="12" t="n">
        <v>135.14</v>
      </c>
      <c r="K12" s="12" t="n">
        <v>118.24</v>
      </c>
      <c r="L12" s="12" t="n">
        <v>109.73</v>
      </c>
      <c r="M12" s="12" t="n">
        <v>59.73</v>
      </c>
      <c r="N12" s="12" t="n">
        <v>62.19</v>
      </c>
      <c r="O12" s="7" t="n">
        <f aca="false">SUM(C12:N12)</f>
        <v>1042.63</v>
      </c>
      <c r="P12" s="7" t="n">
        <f aca="false">AVERAGE(C12:N12)</f>
        <v>86.8858333333333</v>
      </c>
    </row>
    <row r="13" customFormat="false" ht="15.75" hidden="false" customHeight="false" outlineLevel="0" collapsed="false">
      <c r="A13" s="4" t="s">
        <v>15</v>
      </c>
      <c r="B13" s="4" t="n">
        <v>2019</v>
      </c>
      <c r="C13" s="12" t="n">
        <v>135.81</v>
      </c>
      <c r="D13" s="12" t="n">
        <v>153.38</v>
      </c>
      <c r="E13" s="12" t="n">
        <v>128.7</v>
      </c>
      <c r="F13" s="12" t="n">
        <v>118.78</v>
      </c>
      <c r="G13" s="12" t="n">
        <v>69.36</v>
      </c>
      <c r="H13" s="12" t="n">
        <v>46.24</v>
      </c>
      <c r="I13" s="12" t="n">
        <v>37.87</v>
      </c>
      <c r="J13" s="12" t="n">
        <v>37.5</v>
      </c>
      <c r="K13" s="12" t="n">
        <v>41.65</v>
      </c>
      <c r="L13" s="12" t="n">
        <v>31.02</v>
      </c>
      <c r="M13" s="12" t="n">
        <v>53.81</v>
      </c>
      <c r="N13" s="12" t="n">
        <v>106.27</v>
      </c>
      <c r="O13" s="7" t="n">
        <f aca="false">SUM(C13:N13)</f>
        <v>960.39</v>
      </c>
      <c r="P13" s="7" t="n">
        <f aca="false">AVERAGE(C13:N13)</f>
        <v>80.0325</v>
      </c>
    </row>
    <row r="14" customFormat="false" ht="15.75" hidden="false" customHeight="false" outlineLevel="0" collapsed="false">
      <c r="A14" s="4" t="s">
        <v>16</v>
      </c>
      <c r="B14" s="4" t="n">
        <v>2019</v>
      </c>
      <c r="C14" s="13" t="n">
        <v>52.14</v>
      </c>
      <c r="D14" s="13" t="n">
        <v>49.01</v>
      </c>
      <c r="E14" s="13" t="n">
        <v>52.14</v>
      </c>
      <c r="F14" s="13" t="n">
        <v>52.14</v>
      </c>
      <c r="G14" s="13" t="n">
        <v>52.14</v>
      </c>
      <c r="H14" s="13" t="n">
        <v>49.01</v>
      </c>
      <c r="I14" s="13" t="n">
        <v>52.14</v>
      </c>
      <c r="J14" s="13" t="n">
        <v>52.14</v>
      </c>
      <c r="K14" s="13" t="n">
        <v>45.87</v>
      </c>
      <c r="L14" s="13" t="n">
        <v>52.14</v>
      </c>
      <c r="M14" s="13" t="n">
        <v>50.76</v>
      </c>
      <c r="N14" s="13" t="n">
        <v>50.6</v>
      </c>
      <c r="O14" s="7" t="n">
        <f aca="false">SUM(C14:N14)</f>
        <v>610.23</v>
      </c>
      <c r="P14" s="7" t="n">
        <f aca="false">AVERAGE(C14:N14)</f>
        <v>50.8525</v>
      </c>
      <c r="R14" s="14"/>
    </row>
    <row r="15" customFormat="false" ht="15.75" hidden="false" customHeight="false" outlineLevel="0" collapsed="false">
      <c r="A15" s="4" t="s">
        <v>17</v>
      </c>
      <c r="B15" s="4" t="n">
        <v>2019</v>
      </c>
      <c r="C15" s="12" t="n">
        <v>26.32</v>
      </c>
      <c r="D15" s="12" t="n">
        <v>26.32</v>
      </c>
      <c r="E15" s="12" t="n">
        <v>26.32</v>
      </c>
      <c r="F15" s="12" t="n">
        <v>26.32</v>
      </c>
      <c r="G15" s="12" t="n">
        <v>26.32</v>
      </c>
      <c r="H15" s="12" t="n">
        <v>26.32</v>
      </c>
      <c r="I15" s="12" t="n">
        <v>26.32</v>
      </c>
      <c r="J15" s="12" t="n">
        <v>26.61</v>
      </c>
      <c r="K15" s="12" t="n">
        <v>26.61</v>
      </c>
      <c r="L15" s="12" t="n">
        <v>26.61</v>
      </c>
      <c r="M15" s="12" t="n">
        <v>26.61</v>
      </c>
      <c r="N15" s="12" t="n">
        <v>26.61</v>
      </c>
      <c r="O15" s="7" t="n">
        <f aca="false">SUM(C15:N15)</f>
        <v>317.29</v>
      </c>
      <c r="P15" s="7" t="n">
        <f aca="false">AVERAGE(C15:N15)</f>
        <v>26.4408333333333</v>
      </c>
      <c r="R15" s="14"/>
    </row>
    <row r="16" customFormat="false" ht="15.75" hidden="false" customHeight="false" outlineLevel="0" collapsed="false">
      <c r="O16" s="11"/>
      <c r="P16" s="11"/>
      <c r="R16" s="14"/>
    </row>
    <row r="17" customFormat="false" ht="15.75" hidden="false" customHeight="false" outlineLevel="0" collapsed="false">
      <c r="A17" s="4" t="s">
        <v>14</v>
      </c>
      <c r="B17" s="4" t="n">
        <v>2020</v>
      </c>
      <c r="C17" s="12" t="n">
        <v>63.71</v>
      </c>
      <c r="D17" s="12" t="n">
        <v>60.38</v>
      </c>
      <c r="E17" s="12" t="n">
        <v>58.61</v>
      </c>
      <c r="F17" s="4" t="n">
        <v>59.43</v>
      </c>
      <c r="G17" s="12" t="n">
        <v>54.46</v>
      </c>
      <c r="H17" s="12" t="n">
        <v>82.82</v>
      </c>
      <c r="I17" s="12" t="n">
        <v>131.18</v>
      </c>
      <c r="J17" s="12" t="n">
        <v>141.31</v>
      </c>
      <c r="K17" s="12" t="n">
        <v>137.62</v>
      </c>
      <c r="L17" s="12" t="n">
        <v>95.55</v>
      </c>
      <c r="M17" s="12" t="n">
        <v>56.73</v>
      </c>
      <c r="N17" s="12" t="n">
        <v>66.18</v>
      </c>
      <c r="O17" s="7" t="n">
        <f aca="false">SUM(C17:N17)</f>
        <v>1007.98</v>
      </c>
      <c r="P17" s="7" t="n">
        <f aca="false">AVERAGE(C17:N17)</f>
        <v>83.9983333333333</v>
      </c>
      <c r="R17" s="14"/>
    </row>
    <row r="18" customFormat="false" ht="15.75" hidden="false" customHeight="false" outlineLevel="0" collapsed="false">
      <c r="A18" s="4" t="s">
        <v>15</v>
      </c>
      <c r="B18" s="4" t="n">
        <v>2020</v>
      </c>
      <c r="C18" s="12" t="n">
        <v>112.87</v>
      </c>
      <c r="D18" s="12" t="n">
        <v>126.33</v>
      </c>
      <c r="E18" s="12" t="n">
        <v>109.29</v>
      </c>
      <c r="F18" s="4" t="n">
        <v>86.77</v>
      </c>
      <c r="G18" s="12" t="n">
        <v>63.53</v>
      </c>
      <c r="H18" s="12" t="n">
        <v>50.66</v>
      </c>
      <c r="I18" s="12" t="n">
        <v>41.89</v>
      </c>
      <c r="J18" s="12" t="n">
        <v>41.53</v>
      </c>
      <c r="K18" s="12" t="n">
        <v>40.43</v>
      </c>
      <c r="L18" s="12" t="n">
        <v>40.77</v>
      </c>
      <c r="M18" s="12" t="n">
        <v>58.89</v>
      </c>
      <c r="N18" s="12" t="n">
        <v>89.65</v>
      </c>
      <c r="O18" s="7" t="n">
        <f aca="false">SUM(C18:N18)</f>
        <v>862.61</v>
      </c>
      <c r="P18" s="7" t="n">
        <f aca="false">AVERAGE(C18:N18)</f>
        <v>71.8841666666667</v>
      </c>
      <c r="R18" s="14"/>
    </row>
    <row r="19" customFormat="false" ht="15.75" hidden="false" customHeight="false" outlineLevel="0" collapsed="false">
      <c r="A19" s="4" t="s">
        <v>16</v>
      </c>
      <c r="B19" s="4" t="n">
        <v>2020</v>
      </c>
      <c r="C19" s="12" t="n">
        <v>52.31</v>
      </c>
      <c r="D19" s="12" t="n">
        <v>57.89</v>
      </c>
      <c r="E19" s="12" t="n">
        <v>57.89</v>
      </c>
      <c r="F19" s="4" t="n">
        <v>57.89</v>
      </c>
      <c r="G19" s="12" t="n">
        <v>56.94</v>
      </c>
      <c r="H19" s="12" t="n">
        <v>57.89</v>
      </c>
      <c r="I19" s="12" t="n">
        <v>61.12</v>
      </c>
      <c r="J19" s="12" t="n">
        <v>57.89</v>
      </c>
      <c r="K19" s="12" t="n">
        <v>57.89</v>
      </c>
      <c r="L19" s="12" t="n">
        <v>61.12</v>
      </c>
      <c r="M19" s="12" t="n">
        <v>57.89</v>
      </c>
      <c r="N19" s="12" t="n">
        <v>57.89</v>
      </c>
      <c r="O19" s="7" t="n">
        <f aca="false">SUM(C19:N19)</f>
        <v>694.61</v>
      </c>
      <c r="P19" s="7" t="n">
        <f aca="false">AVERAGE(C19:N19)</f>
        <v>57.8841666666667</v>
      </c>
      <c r="R19" s="14"/>
    </row>
    <row r="20" customFormat="false" ht="15.75" hidden="false" customHeight="false" outlineLevel="0" collapsed="false">
      <c r="A20" s="4" t="s">
        <v>17</v>
      </c>
      <c r="B20" s="4" t="n">
        <v>2020</v>
      </c>
      <c r="C20" s="12" t="n">
        <v>26.61</v>
      </c>
      <c r="D20" s="12" t="n">
        <v>26.21</v>
      </c>
      <c r="E20" s="12" t="n">
        <v>26.61</v>
      </c>
      <c r="F20" s="4" t="n">
        <v>26.61</v>
      </c>
      <c r="G20" s="12" t="n">
        <v>26.61</v>
      </c>
      <c r="H20" s="12" t="n">
        <v>26.61</v>
      </c>
      <c r="I20" s="12" t="n">
        <v>26.61</v>
      </c>
      <c r="J20" s="12" t="n">
        <v>26.61</v>
      </c>
      <c r="K20" s="12" t="n">
        <v>28.61</v>
      </c>
      <c r="L20" s="12" t="n">
        <v>28.61</v>
      </c>
      <c r="M20" s="12" t="n">
        <v>28.61</v>
      </c>
      <c r="N20" s="12" t="n">
        <v>28.61</v>
      </c>
      <c r="O20" s="7" t="n">
        <f aca="false">SUM(C20:N20)</f>
        <v>326.92</v>
      </c>
      <c r="P20" s="7" t="n">
        <f aca="false">AVERAGE(C20:N20)</f>
        <v>27.2433333333333</v>
      </c>
      <c r="R20" s="14"/>
    </row>
    <row r="21" customFormat="false" ht="15.75" hidden="false" customHeight="false" outlineLevel="0" collapsed="false">
      <c r="A21" s="4"/>
      <c r="B21" s="4"/>
      <c r="C21" s="12"/>
      <c r="D21" s="12"/>
      <c r="E21" s="12"/>
      <c r="F21" s="4"/>
      <c r="G21" s="12"/>
      <c r="H21" s="12"/>
      <c r="I21" s="12"/>
      <c r="J21" s="12"/>
      <c r="K21" s="12"/>
      <c r="L21" s="12"/>
      <c r="M21" s="12"/>
      <c r="N21" s="12"/>
      <c r="O21" s="11"/>
      <c r="P21" s="11"/>
      <c r="R21" s="14"/>
    </row>
    <row r="22" customFormat="false" ht="15.75" hidden="false" customHeight="false" outlineLevel="0" collapsed="false">
      <c r="A22" s="4" t="s">
        <v>14</v>
      </c>
      <c r="B22" s="4" t="n">
        <v>2021</v>
      </c>
      <c r="C22" s="12" t="n">
        <v>71.39</v>
      </c>
      <c r="D22" s="12" t="n">
        <v>70.6</v>
      </c>
      <c r="E22" s="12" t="n">
        <v>64.33</v>
      </c>
      <c r="F22" s="12" t="n">
        <v>60.4</v>
      </c>
      <c r="G22" s="12" t="n">
        <v>69.52</v>
      </c>
      <c r="H22" s="12" t="n">
        <v>111.82</v>
      </c>
      <c r="I22" s="12" t="n">
        <v>151.44</v>
      </c>
      <c r="J22" s="12" t="n">
        <v>142.19</v>
      </c>
      <c r="K22" s="12" t="n">
        <v>161.56</v>
      </c>
      <c r="L22" s="12" t="n">
        <v>98.49</v>
      </c>
      <c r="M22" s="12" t="n">
        <v>71.51</v>
      </c>
      <c r="N22" s="12" t="n">
        <v>74.47</v>
      </c>
      <c r="O22" s="7" t="n">
        <f aca="false">SUM(C22:N22)</f>
        <v>1147.72</v>
      </c>
      <c r="P22" s="7" t="n">
        <f aca="false">AVERAGE(C22:N22)</f>
        <v>95.6433333333333</v>
      </c>
      <c r="R22" s="14"/>
    </row>
    <row r="23" customFormat="false" ht="15.75" hidden="false" customHeight="false" outlineLevel="0" collapsed="false">
      <c r="A23" s="4" t="s">
        <v>15</v>
      </c>
      <c r="B23" s="4" t="n">
        <v>2021</v>
      </c>
      <c r="C23" s="12" t="n">
        <v>124.29</v>
      </c>
      <c r="D23" s="12" t="n">
        <v>120.99</v>
      </c>
      <c r="E23" s="12" t="n">
        <v>132.56</v>
      </c>
      <c r="F23" s="12" t="n">
        <v>98.74</v>
      </c>
      <c r="G23" s="12" t="n">
        <v>69.09</v>
      </c>
      <c r="H23" s="12" t="n">
        <v>50.26</v>
      </c>
      <c r="I23" s="12" t="n">
        <v>42.5</v>
      </c>
      <c r="J23" s="12" t="n">
        <v>42.62</v>
      </c>
      <c r="K23" s="12" t="n">
        <v>43.8</v>
      </c>
      <c r="L23" s="12" t="n">
        <v>51.91</v>
      </c>
      <c r="M23" s="12" t="n">
        <v>62.4</v>
      </c>
      <c r="N23" s="12" t="n">
        <v>142.37</v>
      </c>
      <c r="O23" s="7" t="n">
        <f aca="false">SUM(C23:N23)</f>
        <v>981.53</v>
      </c>
      <c r="P23" s="7" t="n">
        <f aca="false">AVERAGE(C23:N23)</f>
        <v>81.7941666666667</v>
      </c>
      <c r="R23" s="14"/>
    </row>
    <row r="24" customFormat="false" ht="15.75" hidden="false" customHeight="false" outlineLevel="0" collapsed="false">
      <c r="A24" s="4" t="s">
        <v>16</v>
      </c>
      <c r="B24" s="4" t="n">
        <v>2021</v>
      </c>
      <c r="C24" s="12" t="n">
        <v>61.12</v>
      </c>
      <c r="D24" s="12" t="n">
        <v>58.06</v>
      </c>
      <c r="E24" s="12" t="n">
        <v>59.59</v>
      </c>
      <c r="F24" s="12" t="n">
        <v>62.92</v>
      </c>
      <c r="G24" s="12" t="n">
        <v>56.26</v>
      </c>
      <c r="H24" s="12" t="n">
        <v>62.92</v>
      </c>
      <c r="I24" s="12" t="n">
        <v>62.92</v>
      </c>
      <c r="J24" s="12" t="n">
        <v>62.92</v>
      </c>
      <c r="K24" s="12" t="n">
        <v>59.59</v>
      </c>
      <c r="L24" s="12" t="n">
        <v>66.24</v>
      </c>
      <c r="M24" s="12" t="n">
        <v>59.59</v>
      </c>
      <c r="N24" s="12" t="n">
        <v>62.92</v>
      </c>
      <c r="O24" s="7" t="n">
        <f aca="false">SUM(C24:N24)</f>
        <v>735.05</v>
      </c>
      <c r="P24" s="7" t="n">
        <f aca="false">AVERAGE(C24:N24)</f>
        <v>61.2541666666667</v>
      </c>
      <c r="R24" s="14"/>
    </row>
    <row r="25" customFormat="false" ht="15.75" hidden="false" customHeight="false" outlineLevel="0" collapsed="false">
      <c r="A25" s="4" t="s">
        <v>17</v>
      </c>
      <c r="B25" s="4" t="n">
        <v>2021</v>
      </c>
      <c r="C25" s="12" t="n">
        <v>28.61</v>
      </c>
      <c r="D25" s="12" t="n">
        <v>28.61</v>
      </c>
      <c r="E25" s="12" t="n">
        <v>28.61</v>
      </c>
      <c r="F25" s="12" t="n">
        <v>28.61</v>
      </c>
      <c r="G25" s="12" t="n">
        <v>28.61</v>
      </c>
      <c r="H25" s="12" t="n">
        <v>28.61</v>
      </c>
      <c r="I25" s="12" t="n">
        <v>31.47</v>
      </c>
      <c r="J25" s="12" t="n">
        <v>31.47</v>
      </c>
      <c r="K25" s="12" t="n">
        <v>31.47</v>
      </c>
      <c r="L25" s="12" t="n">
        <v>31.47</v>
      </c>
      <c r="M25" s="12" t="n">
        <v>31.47</v>
      </c>
      <c r="N25" s="12" t="n">
        <v>31.47</v>
      </c>
      <c r="O25" s="7" t="n">
        <f aca="false">SUM(C25:N25)</f>
        <v>360.48</v>
      </c>
      <c r="P25" s="7" t="n">
        <f aca="false">AVERAGE(C25:N25)</f>
        <v>30.04</v>
      </c>
      <c r="R25" s="14"/>
    </row>
    <row r="26" customFormat="false" ht="15.75" hidden="false" customHeight="false" outlineLevel="0" collapsed="false">
      <c r="A26" s="4"/>
      <c r="B26" s="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1"/>
      <c r="P26" s="11"/>
      <c r="R26" s="14"/>
    </row>
    <row r="27" customFormat="false" ht="15.75" hidden="false" customHeight="false" outlineLevel="0" collapsed="false">
      <c r="A27" s="4" t="s">
        <v>14</v>
      </c>
      <c r="B27" s="4" t="n">
        <v>2022</v>
      </c>
      <c r="C27" s="12" t="n">
        <v>80.76</v>
      </c>
      <c r="D27" s="12" t="n">
        <v>80.8</v>
      </c>
      <c r="E27" s="12" t="n">
        <v>68.68</v>
      </c>
      <c r="F27" s="12" t="n">
        <v>70.95</v>
      </c>
      <c r="G27" s="12" t="n">
        <v>73.77</v>
      </c>
      <c r="H27" s="12" t="n">
        <v>135.41</v>
      </c>
      <c r="I27" s="12" t="n">
        <v>216.47</v>
      </c>
      <c r="J27" s="12" t="n">
        <v>114.54</v>
      </c>
      <c r="K27" s="12" t="n">
        <v>181.76</v>
      </c>
      <c r="L27" s="12" t="n">
        <v>125.15</v>
      </c>
      <c r="M27" s="12" t="n">
        <v>81.86</v>
      </c>
      <c r="N27" s="12" t="n">
        <v>88.59</v>
      </c>
      <c r="O27" s="7" t="n">
        <f aca="false">SUM(C27:N27)</f>
        <v>1318.74</v>
      </c>
      <c r="P27" s="7" t="n">
        <f aca="false">AVERAGE(C27:N27)</f>
        <v>109.895</v>
      </c>
      <c r="R27" s="14"/>
    </row>
    <row r="28" customFormat="false" ht="15.75" hidden="false" customHeight="false" outlineLevel="0" collapsed="false">
      <c r="A28" s="4" t="s">
        <v>15</v>
      </c>
      <c r="B28" s="4" t="n">
        <v>2022</v>
      </c>
      <c r="C28" s="12" t="n">
        <v>172.59</v>
      </c>
      <c r="D28" s="12" t="n">
        <v>221.01</v>
      </c>
      <c r="E28" s="12" t="n">
        <v>193.9</v>
      </c>
      <c r="F28" s="12" t="n">
        <v>153.76</v>
      </c>
      <c r="G28" s="12" t="n">
        <v>107.93</v>
      </c>
      <c r="H28" s="12" t="n">
        <v>59.83</v>
      </c>
      <c r="I28" s="12" t="n">
        <v>60.77</v>
      </c>
      <c r="J28" s="12" t="n">
        <v>30.12</v>
      </c>
      <c r="K28" s="12" t="n">
        <v>55.97</v>
      </c>
      <c r="L28" s="12" t="n">
        <v>45.03</v>
      </c>
      <c r="M28" s="12" t="n">
        <v>66.46</v>
      </c>
      <c r="N28" s="12" t="n">
        <v>130.57</v>
      </c>
      <c r="O28" s="7" t="n">
        <f aca="false">SUM(C28:N28)</f>
        <v>1297.94</v>
      </c>
      <c r="P28" s="7" t="n">
        <f aca="false">AVERAGE(C28:N28)</f>
        <v>108.161666666667</v>
      </c>
      <c r="R28" s="14"/>
    </row>
    <row r="29" customFormat="false" ht="15.75" hidden="false" customHeight="false" outlineLevel="0" collapsed="false">
      <c r="A29" s="4" t="s">
        <v>16</v>
      </c>
      <c r="B29" s="4" t="n">
        <v>2022</v>
      </c>
      <c r="C29" s="12" t="n">
        <v>62.92</v>
      </c>
      <c r="D29" s="12" t="n">
        <v>66.42</v>
      </c>
      <c r="E29" s="12" t="n">
        <v>64.75</v>
      </c>
      <c r="F29" s="12" t="n">
        <v>64.75</v>
      </c>
      <c r="G29" s="12" t="n">
        <v>64.75</v>
      </c>
      <c r="H29" s="12" t="n">
        <v>64.75</v>
      </c>
      <c r="I29" s="12" t="n">
        <v>61.33</v>
      </c>
      <c r="J29" s="12" t="n">
        <v>61.33</v>
      </c>
      <c r="K29" s="12" t="n">
        <v>43.87</v>
      </c>
      <c r="L29" s="12" t="n">
        <v>57.4</v>
      </c>
      <c r="M29" s="12" t="n">
        <v>60.78</v>
      </c>
      <c r="N29" s="12" t="n">
        <v>64.16</v>
      </c>
      <c r="O29" s="7" t="n">
        <f aca="false">SUM(C29:N29)</f>
        <v>737.21</v>
      </c>
      <c r="P29" s="7" t="n">
        <f aca="false">AVERAGE(C29:N29)</f>
        <v>61.4341666666667</v>
      </c>
      <c r="R29" s="14"/>
    </row>
    <row r="30" customFormat="false" ht="15.75" hidden="false" customHeight="false" outlineLevel="0" collapsed="false">
      <c r="A30" s="4" t="s">
        <v>17</v>
      </c>
      <c r="B30" s="4" t="n">
        <v>2022</v>
      </c>
      <c r="C30" s="12" t="n">
        <v>31.47</v>
      </c>
      <c r="D30" s="12" t="n">
        <v>31.47</v>
      </c>
      <c r="E30" s="12" t="n">
        <v>31.47</v>
      </c>
      <c r="F30" s="12" t="n">
        <v>31.47</v>
      </c>
      <c r="G30" s="12" t="n">
        <v>31.47</v>
      </c>
      <c r="H30" s="12" t="n">
        <v>31.47</v>
      </c>
      <c r="I30" s="12" t="n">
        <v>31.47</v>
      </c>
      <c r="J30" s="12" t="n">
        <v>31.47</v>
      </c>
      <c r="K30" s="12" t="n">
        <v>35.12</v>
      </c>
      <c r="L30" s="12" t="n">
        <v>35.12</v>
      </c>
      <c r="M30" s="12" t="n">
        <v>35.12</v>
      </c>
      <c r="N30" s="12" t="n">
        <v>35.12</v>
      </c>
      <c r="O30" s="7" t="n">
        <f aca="false">SUM(C30:N30)</f>
        <v>392.24</v>
      </c>
      <c r="P30" s="7" t="n">
        <f aca="false">AVERAGE(C30:N30)</f>
        <v>32.6866666666667</v>
      </c>
      <c r="R30" s="14"/>
    </row>
    <row r="31" customFormat="false" ht="15.75" hidden="false" customHeight="false" outlineLevel="0" collapsed="false">
      <c r="A31" s="4"/>
      <c r="B31" s="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1"/>
      <c r="P31" s="11"/>
      <c r="R31" s="14"/>
    </row>
    <row r="32" customFormat="false" ht="15.75" hidden="false" customHeight="false" outlineLevel="0" collapsed="false">
      <c r="A32" s="4" t="s">
        <v>14</v>
      </c>
      <c r="B32" s="4" t="n">
        <v>2023</v>
      </c>
      <c r="C32" s="10" t="n">
        <v>105.01</v>
      </c>
      <c r="D32" s="10" t="n">
        <v>90.03</v>
      </c>
      <c r="E32" s="10" t="n">
        <v>83.42</v>
      </c>
      <c r="F32" s="10" t="n">
        <v>69.11</v>
      </c>
      <c r="G32" s="10" t="n">
        <v>69.88</v>
      </c>
      <c r="H32" s="10" t="n">
        <v>102.42</v>
      </c>
      <c r="I32" s="10" t="n">
        <v>140.82</v>
      </c>
      <c r="J32" s="10" t="n">
        <v>172.13</v>
      </c>
      <c r="K32" s="10" t="n">
        <v>159.54</v>
      </c>
      <c r="L32" s="10" t="n">
        <v>106.36</v>
      </c>
      <c r="M32" s="10" t="n">
        <v>82.05</v>
      </c>
      <c r="N32" s="10" t="n">
        <v>74.4</v>
      </c>
      <c r="O32" s="7" t="n">
        <f aca="false">SUM(C32:N32)</f>
        <v>1255.17</v>
      </c>
      <c r="P32" s="7" t="n">
        <f aca="false">AVERAGE(C32:N32)</f>
        <v>104.5975</v>
      </c>
      <c r="R32" s="14"/>
    </row>
    <row r="33" customFormat="false" ht="15.75" hidden="false" customHeight="false" outlineLevel="0" collapsed="false">
      <c r="A33" s="4" t="s">
        <v>15</v>
      </c>
      <c r="B33" s="4" t="n">
        <v>2023</v>
      </c>
      <c r="C33" s="10" t="n">
        <v>215.35</v>
      </c>
      <c r="D33" s="1" t="n">
        <v>82.22</v>
      </c>
      <c r="E33" s="1" t="n">
        <v>47.43</v>
      </c>
      <c r="F33" s="1" t="n">
        <v>32.85</v>
      </c>
      <c r="G33" s="1" t="n">
        <v>35.59</v>
      </c>
      <c r="H33" s="1" t="n">
        <v>35.83</v>
      </c>
      <c r="I33" s="1" t="n">
        <v>40.42</v>
      </c>
      <c r="J33" s="1" t="n">
        <v>42.14</v>
      </c>
      <c r="K33" s="1" t="n">
        <v>62.19</v>
      </c>
      <c r="L33" s="1" t="n">
        <v>127.42</v>
      </c>
      <c r="M33" s="1" t="n">
        <v>146.44</v>
      </c>
      <c r="N33" s="1" t="n">
        <v>181.71</v>
      </c>
      <c r="O33" s="7" t="n">
        <f aca="false">SUM(C33:N33)</f>
        <v>1049.59</v>
      </c>
      <c r="P33" s="7" t="n">
        <f aca="false">AVERAGE(C33:N33)</f>
        <v>87.4658333333333</v>
      </c>
      <c r="R33" s="14"/>
    </row>
    <row r="34" customFormat="false" ht="15.75" hidden="false" customHeight="false" outlineLevel="0" collapsed="false">
      <c r="A34" s="4" t="s">
        <v>16</v>
      </c>
      <c r="B34" s="4" t="n">
        <v>2023</v>
      </c>
      <c r="C34" s="4" t="n">
        <v>64.16</v>
      </c>
      <c r="D34" s="4" t="n">
        <v>64.34</v>
      </c>
      <c r="E34" s="4" t="n">
        <v>62.54</v>
      </c>
      <c r="F34" s="10" t="n">
        <v>66.02</v>
      </c>
      <c r="G34" s="10" t="n">
        <v>59.06</v>
      </c>
      <c r="H34" s="10" t="n">
        <v>62.54</v>
      </c>
      <c r="I34" s="10" t="n">
        <v>66.02</v>
      </c>
      <c r="J34" s="10" t="n">
        <v>69.49</v>
      </c>
      <c r="K34" s="10" t="n">
        <v>66.02</v>
      </c>
      <c r="L34" s="10" t="n">
        <v>59.06</v>
      </c>
      <c r="M34" s="10" t="n">
        <v>59.06</v>
      </c>
      <c r="N34" s="10" t="n">
        <v>62.54</v>
      </c>
      <c r="O34" s="7" t="n">
        <f aca="false">SUM(C34:N34)</f>
        <v>760.85</v>
      </c>
      <c r="P34" s="7" t="n">
        <f aca="false">AVERAGE(C34:N34)</f>
        <v>63.4041666666667</v>
      </c>
      <c r="R34" s="14"/>
    </row>
    <row r="35" customFormat="false" ht="15.75" hidden="false" customHeight="false" outlineLevel="0" collapsed="false">
      <c r="A35" s="4" t="s">
        <v>17</v>
      </c>
      <c r="B35" s="4" t="n">
        <v>2023</v>
      </c>
      <c r="C35" s="12" t="n">
        <v>35.12</v>
      </c>
      <c r="D35" s="12" t="n">
        <v>35.12</v>
      </c>
      <c r="E35" s="12" t="n">
        <v>35.12</v>
      </c>
      <c r="F35" s="12" t="n">
        <v>35.12</v>
      </c>
      <c r="G35" s="12" t="n">
        <v>35.12</v>
      </c>
      <c r="H35" s="12" t="n">
        <v>35.12</v>
      </c>
      <c r="I35" s="12" t="n">
        <v>35.12</v>
      </c>
      <c r="J35" s="12" t="n">
        <v>35.12</v>
      </c>
      <c r="K35" s="12" t="n">
        <v>35.12</v>
      </c>
      <c r="L35" s="12" t="n">
        <v>35.12</v>
      </c>
      <c r="M35" s="12" t="n">
        <v>35.12</v>
      </c>
      <c r="N35" s="12" t="n">
        <v>35.12</v>
      </c>
      <c r="O35" s="7" t="n">
        <f aca="false">SUM(C35:N35)</f>
        <v>421.44</v>
      </c>
      <c r="P35" s="7" t="n">
        <f aca="false">AVERAGE(C35:N35)</f>
        <v>35.12</v>
      </c>
      <c r="R35" s="14"/>
    </row>
    <row r="36" customFormat="false" ht="15.75" hidden="false" customHeight="false" outlineLevel="0" collapsed="false">
      <c r="A36" s="4"/>
      <c r="B36" s="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11"/>
      <c r="R36" s="14"/>
    </row>
    <row r="37" customFormat="false" ht="15.75" hidden="false" customHeight="false" outlineLevel="0" collapsed="false">
      <c r="A37" s="4" t="s">
        <v>14</v>
      </c>
      <c r="B37" s="4" t="n">
        <v>2024</v>
      </c>
      <c r="C37" s="10" t="n">
        <v>61.12</v>
      </c>
      <c r="D37" s="10" t="n">
        <v>73.99</v>
      </c>
      <c r="E37" s="10" t="n">
        <v>74.23</v>
      </c>
      <c r="F37" s="10" t="n">
        <v>71.78</v>
      </c>
      <c r="G37" s="10" t="n">
        <v>94.76</v>
      </c>
      <c r="H37" s="10" t="n">
        <v>86.4</v>
      </c>
      <c r="I37" s="10" t="n">
        <v>141.56</v>
      </c>
      <c r="J37" s="10" t="n">
        <v>137.32</v>
      </c>
      <c r="K37" s="10" t="n">
        <v>136.16</v>
      </c>
      <c r="L37" s="10" t="n">
        <v>103.57</v>
      </c>
      <c r="M37" s="10" t="n">
        <v>78.26</v>
      </c>
      <c r="N37" s="10" t="n">
        <v>79.33</v>
      </c>
      <c r="O37" s="7" t="n">
        <f aca="false">SUM(C37:N37)</f>
        <v>1138.48</v>
      </c>
      <c r="P37" s="7" t="n">
        <f aca="false">AVERAGE(C37:N37)</f>
        <v>94.8733333333333</v>
      </c>
      <c r="R37" s="14"/>
    </row>
    <row r="38" customFormat="false" ht="15.75" hidden="false" customHeight="false" outlineLevel="0" collapsed="false">
      <c r="A38" s="4" t="s">
        <v>15</v>
      </c>
      <c r="B38" s="4" t="n">
        <v>2024</v>
      </c>
      <c r="C38" s="10" t="n">
        <v>104.41</v>
      </c>
      <c r="D38" s="10" t="n">
        <v>143.63</v>
      </c>
      <c r="E38" s="10" t="n">
        <v>115.67</v>
      </c>
      <c r="F38" s="10" t="n">
        <v>83.08</v>
      </c>
      <c r="G38" s="10" t="n">
        <v>50.28</v>
      </c>
      <c r="H38" s="10" t="n">
        <v>32.67</v>
      </c>
      <c r="I38" s="10" t="n">
        <v>32.6</v>
      </c>
      <c r="J38" s="10" t="n">
        <v>31.55</v>
      </c>
      <c r="K38" s="10" t="n">
        <v>33.5</v>
      </c>
      <c r="L38" s="10" t="n">
        <v>29.71</v>
      </c>
      <c r="M38" s="10" t="n">
        <v>42.64</v>
      </c>
      <c r="N38" s="10" t="n">
        <v>88.1</v>
      </c>
      <c r="O38" s="7" t="n">
        <f aca="false">SUM(C38:N38)</f>
        <v>787.84</v>
      </c>
      <c r="P38" s="7" t="n">
        <f aca="false">AVERAGE(C38:N38)</f>
        <v>65.6533333333333</v>
      </c>
      <c r="R38" s="14"/>
    </row>
    <row r="39" customFormat="false" ht="15.75" hidden="false" customHeight="false" outlineLevel="0" collapsed="false">
      <c r="A39" s="4" t="s">
        <v>16</v>
      </c>
      <c r="B39" s="4" t="n">
        <v>2024</v>
      </c>
      <c r="C39" s="10" t="n">
        <v>59.06</v>
      </c>
      <c r="D39" s="10" t="n">
        <v>55.77</v>
      </c>
      <c r="E39" s="10" t="n">
        <v>57.16</v>
      </c>
      <c r="F39" s="10" t="n">
        <v>78.84</v>
      </c>
      <c r="G39" s="10" t="n">
        <v>74.14</v>
      </c>
      <c r="H39" s="10" t="n">
        <v>74.14</v>
      </c>
      <c r="I39" s="10" t="n">
        <v>74.14</v>
      </c>
      <c r="J39" s="10" t="n">
        <v>78.84</v>
      </c>
      <c r="K39" s="10" t="n">
        <v>69.45</v>
      </c>
      <c r="L39" s="10" t="n">
        <v>78.84</v>
      </c>
      <c r="M39" s="10" t="n">
        <v>69.45</v>
      </c>
      <c r="N39" s="10" t="n">
        <v>74.14</v>
      </c>
      <c r="O39" s="7" t="n">
        <f aca="false">SUM(C39:N39)</f>
        <v>843.97</v>
      </c>
      <c r="P39" s="7" t="n">
        <f aca="false">AVERAGE(C39:N39)</f>
        <v>70.3308333333333</v>
      </c>
      <c r="R39" s="14"/>
    </row>
    <row r="40" customFormat="false" ht="15.75" hidden="false" customHeight="false" outlineLevel="0" collapsed="false">
      <c r="A40" s="4" t="s">
        <v>17</v>
      </c>
      <c r="B40" s="4" t="n">
        <v>2024</v>
      </c>
      <c r="C40" s="12" t="n">
        <v>35.12</v>
      </c>
      <c r="D40" s="12" t="n">
        <v>35.12</v>
      </c>
      <c r="E40" s="12" t="n">
        <v>35.12</v>
      </c>
      <c r="F40" s="12" t="n">
        <v>35.12</v>
      </c>
      <c r="G40" s="12" t="n">
        <v>35.12</v>
      </c>
      <c r="H40" s="12" t="n">
        <v>35.12</v>
      </c>
      <c r="I40" s="10" t="n">
        <v>36.33</v>
      </c>
      <c r="J40" s="10" t="n">
        <v>36.33</v>
      </c>
      <c r="K40" s="10" t="n">
        <v>36.33</v>
      </c>
      <c r="L40" s="10" t="n">
        <v>36.33</v>
      </c>
      <c r="M40" s="10" t="n">
        <v>36.33</v>
      </c>
      <c r="N40" s="10" t="n">
        <v>36.33</v>
      </c>
      <c r="O40" s="7" t="n">
        <f aca="false">SUM(C40:N40)</f>
        <v>428.7</v>
      </c>
      <c r="P40" s="7" t="n">
        <f aca="false">AVERAGE(C40:N40)</f>
        <v>35.725</v>
      </c>
      <c r="R40" s="14"/>
    </row>
    <row r="41" customFormat="false" ht="15.75" hidden="false" customHeight="false" outlineLevel="0" collapsed="false">
      <c r="A41" s="4"/>
      <c r="B41" s="4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  <c r="P41" s="11"/>
      <c r="R41" s="14"/>
    </row>
    <row r="42" customFormat="false" ht="15.75" hidden="false" customHeight="false" outlineLevel="0" collapsed="false">
      <c r="A42" s="4" t="s">
        <v>14</v>
      </c>
      <c r="B42" s="4" t="n">
        <v>2025</v>
      </c>
      <c r="C42" s="10" t="n">
        <v>93.33</v>
      </c>
      <c r="D42" s="10" t="n">
        <v>83.19</v>
      </c>
      <c r="E42" s="10" t="n">
        <v>81.95</v>
      </c>
      <c r="F42" s="10" t="n">
        <v>92.36</v>
      </c>
      <c r="G42" s="10" t="n">
        <v>97.71</v>
      </c>
      <c r="H42" s="10" t="n">
        <v>107.1</v>
      </c>
      <c r="I42" s="10" t="n">
        <v>193.18</v>
      </c>
      <c r="J42" s="10" t="n">
        <v>202.41</v>
      </c>
      <c r="K42" s="10" t="n">
        <v>153.7</v>
      </c>
      <c r="L42" s="10" t="n">
        <v>151.22</v>
      </c>
      <c r="M42" s="10" t="n">
        <v>92.7</v>
      </c>
      <c r="N42" s="10" t="n">
        <v>93.24</v>
      </c>
      <c r="O42" s="7" t="n">
        <f aca="false">SUM(C42:N42)</f>
        <v>1442.09</v>
      </c>
      <c r="P42" s="7" t="n">
        <f aca="false">AVERAGE(C42:N42)</f>
        <v>120.174166666667</v>
      </c>
      <c r="R42" s="14"/>
    </row>
    <row r="43" customFormat="false" ht="15.75" hidden="false" customHeight="false" outlineLevel="0" collapsed="false">
      <c r="A43" s="4" t="s">
        <v>15</v>
      </c>
      <c r="B43" s="4" t="n">
        <v>2025</v>
      </c>
      <c r="C43" s="10" t="n">
        <v>118.42</v>
      </c>
      <c r="D43" s="10" t="n">
        <v>171.86</v>
      </c>
      <c r="E43" s="10" t="n">
        <v>135.86</v>
      </c>
      <c r="F43" s="10" t="n">
        <v>87.5</v>
      </c>
      <c r="G43" s="10" t="n">
        <v>64.38</v>
      </c>
      <c r="H43" s="10" t="n">
        <v>37.49</v>
      </c>
      <c r="I43" s="10" t="n">
        <v>39.03</v>
      </c>
      <c r="J43" s="10" t="n">
        <v>49.73</v>
      </c>
      <c r="K43" s="10" t="n">
        <v>47.43</v>
      </c>
      <c r="L43" s="10" t="n">
        <v>39.8</v>
      </c>
      <c r="M43" s="10" t="n">
        <v>50.44</v>
      </c>
      <c r="N43" s="10" t="n">
        <v>97.77</v>
      </c>
      <c r="O43" s="7" t="n">
        <f aca="false">SUM(C43:N43)</f>
        <v>939.71</v>
      </c>
      <c r="P43" s="7" t="n">
        <f aca="false">AVERAGE(C43:N43)</f>
        <v>78.3091666666667</v>
      </c>
      <c r="R43" s="14"/>
    </row>
    <row r="44" customFormat="false" ht="15.75" hidden="false" customHeight="false" outlineLevel="0" collapsed="false">
      <c r="A44" s="4" t="s">
        <v>16</v>
      </c>
      <c r="B44" s="4" t="n">
        <v>2025</v>
      </c>
      <c r="C44" s="10" t="n">
        <v>78.84</v>
      </c>
      <c r="D44" s="10" t="n">
        <v>83.73</v>
      </c>
      <c r="E44" s="10" t="n">
        <v>76.54</v>
      </c>
      <c r="F44" s="10" t="n">
        <v>76.54</v>
      </c>
      <c r="G44" s="10" t="n">
        <v>71.7</v>
      </c>
      <c r="H44" s="10" t="n">
        <v>71.7</v>
      </c>
      <c r="I44" s="10" t="n">
        <v>76.54</v>
      </c>
      <c r="J44" s="10" t="n">
        <v>80.42</v>
      </c>
      <c r="K44" s="10" t="n">
        <v>85.26</v>
      </c>
      <c r="L44" s="10" t="n">
        <v>80.42</v>
      </c>
      <c r="M44" s="10" t="n">
        <v>75.59</v>
      </c>
      <c r="N44" s="16" t="n">
        <v>107.75</v>
      </c>
      <c r="O44" s="7" t="n">
        <f aca="false">SUM(C44:N44)</f>
        <v>965.03</v>
      </c>
      <c r="P44" s="7" t="n">
        <f aca="false">AVERAGE(C44:N44)</f>
        <v>80.4191666666667</v>
      </c>
      <c r="R44" s="14"/>
    </row>
    <row r="45" customFormat="false" ht="15.75" hidden="false" customHeight="false" outlineLevel="0" collapsed="false">
      <c r="A45" s="4" t="s">
        <v>17</v>
      </c>
      <c r="B45" s="4" t="n">
        <v>2025</v>
      </c>
      <c r="C45" s="10" t="n">
        <v>36.33</v>
      </c>
      <c r="D45" s="10" t="n">
        <v>36.33</v>
      </c>
      <c r="E45" s="10" t="n">
        <v>36.33</v>
      </c>
      <c r="F45" s="10" t="n">
        <v>36.33</v>
      </c>
      <c r="G45" s="10" t="n">
        <v>36.33</v>
      </c>
      <c r="H45" s="10" t="n">
        <v>36.33</v>
      </c>
      <c r="I45" s="10" t="n">
        <v>36.33</v>
      </c>
      <c r="J45" s="10" t="n">
        <v>32.81</v>
      </c>
      <c r="K45" s="10" t="n">
        <v>32.81</v>
      </c>
      <c r="L45" s="10" t="n">
        <v>32.81</v>
      </c>
      <c r="M45" s="10" t="n">
        <v>32.81</v>
      </c>
      <c r="N45" s="10" t="n">
        <v>32.81</v>
      </c>
      <c r="O45" s="7" t="n">
        <f aca="false">SUM(C45:N45)</f>
        <v>418.36</v>
      </c>
      <c r="P45" s="7" t="n">
        <f aca="false">AVERAGE(C45:N45)</f>
        <v>34.8633333333333</v>
      </c>
      <c r="R45" s="14"/>
    </row>
    <row r="46" customFormat="false" ht="15.75" hidden="false" customHeight="false" outlineLevel="0" collapsed="false">
      <c r="A46" s="4"/>
      <c r="B46" s="4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  <c r="P46" s="11"/>
      <c r="R46" s="14"/>
    </row>
    <row r="47" customFormat="false" ht="15.75" hidden="false" customHeight="false" outlineLevel="0" collapsed="false">
      <c r="A47" s="4" t="s">
        <v>14</v>
      </c>
      <c r="B47" s="4" t="n">
        <v>2026</v>
      </c>
      <c r="C47" s="10" t="n">
        <v>90.7</v>
      </c>
      <c r="D47" s="10" t="n">
        <v>100.33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" t="n">
        <f aca="false">SUM(C47:N47)</f>
        <v>191.03</v>
      </c>
      <c r="P47" s="7" t="n">
        <f aca="false">AVERAGE(C47:N47)</f>
        <v>95.515</v>
      </c>
      <c r="R47" s="14"/>
    </row>
    <row r="48" customFormat="false" ht="15.75" hidden="false" customHeight="false" outlineLevel="0" collapsed="false">
      <c r="A48" s="4" t="s">
        <v>18</v>
      </c>
      <c r="B48" s="4" t="n">
        <v>2026</v>
      </c>
      <c r="C48" s="10" t="n">
        <v>160.38</v>
      </c>
      <c r="D48" s="10" t="n">
        <v>177.45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" t="n">
        <f aca="false">SUM(C48:N48)</f>
        <v>337.83</v>
      </c>
      <c r="P48" s="7" t="n">
        <f aca="false">AVERAGE(C48:N48)</f>
        <v>168.915</v>
      </c>
      <c r="R48" s="14"/>
    </row>
    <row r="49" customFormat="false" ht="15.75" hidden="false" customHeight="false" outlineLevel="0" collapsed="false">
      <c r="A49" s="4" t="s">
        <v>16</v>
      </c>
      <c r="B49" s="4" t="n">
        <v>2026</v>
      </c>
      <c r="C49" s="16" t="n">
        <v>248.95</v>
      </c>
      <c r="D49" s="10" t="n">
        <v>104.64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" t="n">
        <f aca="false">SUM(C49:N49)</f>
        <v>353.59</v>
      </c>
      <c r="P49" s="7" t="n">
        <f aca="false">AVERAGE(C49:N49)</f>
        <v>176.795</v>
      </c>
      <c r="R49" s="14"/>
    </row>
    <row r="50" customFormat="false" ht="15.75" hidden="false" customHeight="false" outlineLevel="0" collapsed="false">
      <c r="A50" s="4" t="s">
        <v>17</v>
      </c>
      <c r="B50" s="4" t="n">
        <v>2026</v>
      </c>
      <c r="C50" s="10" t="n">
        <v>32.81</v>
      </c>
      <c r="D50" s="10" t="n">
        <v>32.81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" t="n">
        <f aca="false">SUM(C50:N50)</f>
        <v>65.62</v>
      </c>
      <c r="P50" s="7" t="n">
        <f aca="false">AVERAGE(C50:N50)</f>
        <v>32.81</v>
      </c>
      <c r="R50" s="14"/>
    </row>
    <row r="51" customFormat="false" ht="15.75" hidden="false" customHeight="false" outlineLevel="0" collapsed="false">
      <c r="A51" s="4"/>
      <c r="B51" s="4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  <c r="P51" s="11"/>
      <c r="R51" s="14"/>
    </row>
    <row r="52" customFormat="false" ht="15.75" hidden="false" customHeight="false" outlineLevel="0" collapsed="false">
      <c r="A52" s="4"/>
      <c r="B52" s="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1"/>
      <c r="P52" s="11"/>
      <c r="R52" s="14"/>
    </row>
    <row r="53" customFormat="false" ht="15.75" hidden="false" customHeight="false" outlineLevel="0" collapsed="false">
      <c r="A53" s="17" t="s">
        <v>12</v>
      </c>
      <c r="B53" s="17" t="n">
        <v>2017</v>
      </c>
      <c r="C53" s="18"/>
      <c r="D53" s="18"/>
      <c r="E53" s="18"/>
      <c r="F53" s="18"/>
      <c r="G53" s="18"/>
      <c r="H53" s="18" t="n">
        <f aca="false">SUMIF($B$2:$B$52,$B53,H$2:H$52)</f>
        <v>146.71</v>
      </c>
      <c r="I53" s="18" t="n">
        <f aca="false">SUMIF($B$2:$B$52,$B53,I$2:I$52)</f>
        <v>171.44</v>
      </c>
      <c r="J53" s="18" t="n">
        <f aca="false">SUMIF($B$2:$B$52,$B53,J$2:J$52)</f>
        <v>177.94</v>
      </c>
      <c r="K53" s="18" t="n">
        <f aca="false">SUMIF($B$2:$B$52,$B53,K$2:K$52)</f>
        <v>163.67</v>
      </c>
      <c r="L53" s="18" t="n">
        <f aca="false">SUMIF($B$2:$B$52,$B53,L$2:L$52)</f>
        <v>135.05</v>
      </c>
      <c r="M53" s="18" t="n">
        <f aca="false">SUMIF($B$2:$B$52,$B53,M$2:M$52)</f>
        <v>188.24</v>
      </c>
      <c r="N53" s="18" t="n">
        <f aca="false">SUMIF($B$2:$B$52,$B53,N$2:N$52)</f>
        <v>252.05</v>
      </c>
      <c r="O53" s="7" t="n">
        <f aca="false">SUM(C53:N53)</f>
        <v>1235.1</v>
      </c>
      <c r="P53" s="7" t="n">
        <f aca="false">AVERAGE(C53:N53)</f>
        <v>176.442857142857</v>
      </c>
      <c r="R53" s="14"/>
    </row>
    <row r="54" customFormat="false" ht="15.75" hidden="false" customHeight="false" outlineLevel="0" collapsed="false">
      <c r="A54" s="17" t="s">
        <v>12</v>
      </c>
      <c r="B54" s="17" t="n">
        <v>2018</v>
      </c>
      <c r="C54" s="18" t="n">
        <f aca="false">SUMIF($B$2:$B$52,$B54,C$2:C$52)</f>
        <v>332.22</v>
      </c>
      <c r="D54" s="18" t="n">
        <f aca="false">SUMIF($B$2:$B$52,$B54,D$2:D$52)</f>
        <v>311.27</v>
      </c>
      <c r="E54" s="18" t="n">
        <f aca="false">SUMIF($B$2:$B$52,$B54,E$2:E$52)</f>
        <v>283.78</v>
      </c>
      <c r="F54" s="18" t="n">
        <f aca="false">SUMIF($B$2:$B$52,$B54,F$2:F$52)</f>
        <v>278.31</v>
      </c>
      <c r="G54" s="18" t="n">
        <f aca="false">SUMIF($B$2:$B$52,$B54,G$2:G$52)</f>
        <v>227.99</v>
      </c>
      <c r="H54" s="18" t="n">
        <f aca="false">SUMIF($B$2:$B$52,$B54,H$2:H$52)</f>
        <v>195.06</v>
      </c>
      <c r="I54" s="18" t="n">
        <f aca="false">SUMIF($B$2:$B$52,$B54,I$2:I$52)</f>
        <v>231.07</v>
      </c>
      <c r="J54" s="18" t="n">
        <f aca="false">SUMIF($B$2:$B$52,$B54,J$2:J$52)</f>
        <v>218.9</v>
      </c>
      <c r="K54" s="18" t="n">
        <f aca="false">SUMIF($B$2:$B$52,$B54,K$2:K$52)</f>
        <v>218.5</v>
      </c>
      <c r="L54" s="18" t="n">
        <f aca="false">SUMIF($B$2:$B$52,$B54,L$2:L$52)</f>
        <v>184.63</v>
      </c>
      <c r="M54" s="18" t="n">
        <f aca="false">SUMIF($B$2:$B$52,$B54,M$2:M$52)</f>
        <v>207.81</v>
      </c>
      <c r="N54" s="18" t="n">
        <f aca="false">SUMIF($B$2:$B$52,$B54,N$2:N$52)</f>
        <v>271.55</v>
      </c>
      <c r="O54" s="7" t="n">
        <f aca="false">SUM(C54:N54)</f>
        <v>2961.09</v>
      </c>
      <c r="P54" s="7" t="n">
        <f aca="false">AVERAGE(C54:N54)</f>
        <v>246.7575</v>
      </c>
      <c r="R54" s="14"/>
    </row>
    <row r="55" customFormat="false" ht="15.75" hidden="false" customHeight="false" outlineLevel="0" collapsed="false">
      <c r="A55" s="17" t="s">
        <v>12</v>
      </c>
      <c r="B55" s="17" t="n">
        <v>2019</v>
      </c>
      <c r="C55" s="18" t="n">
        <f aca="false">SUMIF($B$2:$B$52,$B55,C$2:C$52)</f>
        <v>290.33</v>
      </c>
      <c r="D55" s="18" t="n">
        <f aca="false">SUMIF($B$2:$B$52,$B55,D$2:D$52)</f>
        <v>299.22</v>
      </c>
      <c r="E55" s="18" t="n">
        <f aca="false">SUMIF($B$2:$B$52,$B55,E$2:E$52)</f>
        <v>276.09</v>
      </c>
      <c r="F55" s="18" t="n">
        <f aca="false">SUMIF($B$2:$B$52,$B55,F$2:F$52)</f>
        <v>262.17</v>
      </c>
      <c r="G55" s="18" t="n">
        <f aca="false">SUMIF($B$2:$B$52,$B55,G$2:G$52)</f>
        <v>212.75</v>
      </c>
      <c r="H55" s="18" t="n">
        <f aca="false">SUMIF($B$2:$B$52,$B55,H$2:H$52)</f>
        <v>201.65</v>
      </c>
      <c r="I55" s="18" t="n">
        <f aca="false">SUMIF($B$2:$B$52,$B55,I$2:I$52)</f>
        <v>248.49</v>
      </c>
      <c r="J55" s="18" t="n">
        <f aca="false">SUMIF($B$2:$B$52,$B55,J$2:J$52)</f>
        <v>251.39</v>
      </c>
      <c r="K55" s="18" t="n">
        <f aca="false">SUMIF($B$2:$B$52,$B55,K$2:K$52)</f>
        <v>232.37</v>
      </c>
      <c r="L55" s="18" t="n">
        <f aca="false">SUMIF($B$2:$B$52,$B55,L$2:L$52)</f>
        <v>219.5</v>
      </c>
      <c r="M55" s="18" t="n">
        <f aca="false">SUMIF($B$2:$B$52,$B55,M$2:M$52)</f>
        <v>190.91</v>
      </c>
      <c r="N55" s="18" t="n">
        <f aca="false">SUMIF($B$2:$B$52,$B55,N$2:N$52)</f>
        <v>245.67</v>
      </c>
      <c r="O55" s="7" t="n">
        <f aca="false">SUM(C55:N55)</f>
        <v>2930.54</v>
      </c>
      <c r="P55" s="7" t="n">
        <f aca="false">AVERAGE(C55:N55)</f>
        <v>244.211666666667</v>
      </c>
      <c r="R55" s="14"/>
    </row>
    <row r="56" customFormat="false" ht="15.75" hidden="false" customHeight="false" outlineLevel="0" collapsed="false">
      <c r="A56" s="17" t="s">
        <v>12</v>
      </c>
      <c r="B56" s="17" t="n">
        <v>2020</v>
      </c>
      <c r="C56" s="18" t="n">
        <f aca="false">SUMIF($B$2:$B$52,$B56,C$2:C$52)</f>
        <v>255.5</v>
      </c>
      <c r="D56" s="18" t="n">
        <f aca="false">SUMIF($B$2:$B$52,$B56,D$2:D$52)</f>
        <v>270.81</v>
      </c>
      <c r="E56" s="18" t="n">
        <f aca="false">SUMIF($B$2:$B$52,$B56,E$2:E$52)</f>
        <v>252.4</v>
      </c>
      <c r="F56" s="18" t="n">
        <f aca="false">SUMIF($B$2:$B$52,$B56,F$2:F$52)</f>
        <v>230.7</v>
      </c>
      <c r="G56" s="18" t="n">
        <f aca="false">SUMIF($B$2:$B$52,$B56,G$2:G$52)</f>
        <v>201.54</v>
      </c>
      <c r="H56" s="18" t="n">
        <f aca="false">SUMIF($B$2:$B$52,$B56,H$2:H$52)</f>
        <v>217.98</v>
      </c>
      <c r="I56" s="18" t="n">
        <f aca="false">SUMIF($B$2:$B$52,$B56,I$2:I$52)</f>
        <v>260.8</v>
      </c>
      <c r="J56" s="18" t="n">
        <f aca="false">SUMIF($B$2:$B$52,$B56,J$2:J$52)</f>
        <v>267.34</v>
      </c>
      <c r="K56" s="18" t="n">
        <f aca="false">SUMIF($B$2:$B$52,$B56,K$2:K$52)</f>
        <v>264.55</v>
      </c>
      <c r="L56" s="18" t="n">
        <f aca="false">SUMIF($B$2:$B$52,$B56,L$2:L$52)</f>
        <v>226.05</v>
      </c>
      <c r="M56" s="18" t="n">
        <f aca="false">SUMIF($B$2:$B$52,$B56,M$2:M$52)</f>
        <v>202.12</v>
      </c>
      <c r="N56" s="18" t="n">
        <f aca="false">SUMIF($B$2:$B$52,$B56,N$2:N$52)</f>
        <v>242.33</v>
      </c>
      <c r="O56" s="7" t="n">
        <f aca="false">SUM(C56:N56)</f>
        <v>2892.12</v>
      </c>
      <c r="P56" s="7" t="n">
        <f aca="false">AVERAGE(C56:N56)</f>
        <v>241.01</v>
      </c>
    </row>
    <row r="57" customFormat="false" ht="15.75" hidden="false" customHeight="false" outlineLevel="0" collapsed="false">
      <c r="A57" s="17" t="s">
        <v>12</v>
      </c>
      <c r="B57" s="17" t="n">
        <v>2021</v>
      </c>
      <c r="C57" s="18" t="n">
        <f aca="false">SUMIF($B$2:$B$52,$B57,C$2:C$52)</f>
        <v>285.41</v>
      </c>
      <c r="D57" s="18" t="n">
        <f aca="false">SUMIF($B$2:$B$52,$B57,D$2:D$52)</f>
        <v>278.26</v>
      </c>
      <c r="E57" s="18" t="n">
        <f aca="false">SUMIF($B$2:$B$52,$B57,E$2:E$52)</f>
        <v>285.09</v>
      </c>
      <c r="F57" s="18" t="n">
        <f aca="false">SUMIF($B$2:$B$52,$B57,F$2:F$52)</f>
        <v>250.67</v>
      </c>
      <c r="G57" s="18" t="n">
        <f aca="false">SUMIF($B$2:$B$52,$B57,G$2:G$52)</f>
        <v>223.48</v>
      </c>
      <c r="H57" s="18" t="n">
        <f aca="false">SUMIF($B$2:$B$52,$B57,H$2:H$52)</f>
        <v>253.61</v>
      </c>
      <c r="I57" s="18" t="n">
        <f aca="false">SUMIF($B$2:$B$52,$B57,I$2:I$52)</f>
        <v>288.33</v>
      </c>
      <c r="J57" s="18" t="n">
        <f aca="false">SUMIF($B$2:$B$52,$B57,J$2:J$52)</f>
        <v>279.2</v>
      </c>
      <c r="K57" s="18" t="n">
        <f aca="false">SUMIF($B$2:$B$52,$B57,K$2:K$52)</f>
        <v>296.42</v>
      </c>
      <c r="L57" s="18" t="n">
        <f aca="false">SUMIF($B$2:$B$52,$B57,L$2:L$52)</f>
        <v>248.11</v>
      </c>
      <c r="M57" s="18" t="n">
        <f aca="false">SUMIF($B$2:$B$52,$B57,M$2:M$52)</f>
        <v>224.97</v>
      </c>
      <c r="N57" s="18" t="n">
        <f aca="false">SUMIF($B$2:$B$52,$B57,N$2:N$52)</f>
        <v>311.23</v>
      </c>
      <c r="O57" s="7" t="n">
        <f aca="false">SUM(C57:N57)</f>
        <v>3224.78</v>
      </c>
      <c r="P57" s="7" t="n">
        <f aca="false">AVERAGE(C57:N57)</f>
        <v>268.731666666667</v>
      </c>
    </row>
    <row r="58" customFormat="false" ht="15.75" hidden="false" customHeight="false" outlineLevel="0" collapsed="false">
      <c r="A58" s="17" t="s">
        <v>12</v>
      </c>
      <c r="B58" s="17" t="n">
        <v>2022</v>
      </c>
      <c r="C58" s="18" t="n">
        <f aca="false">SUMIF($B$2:$B$52,$B58,C$2:C$52)</f>
        <v>347.74</v>
      </c>
      <c r="D58" s="18" t="n">
        <f aca="false">SUMIF($B$2:$B$52,$B58,D$2:D$52)</f>
        <v>399.7</v>
      </c>
      <c r="E58" s="18" t="n">
        <f aca="false">SUMIF($B$2:$B$52,$B58,E$2:E$52)</f>
        <v>358.8</v>
      </c>
      <c r="F58" s="18" t="n">
        <f aca="false">SUMIF($B$2:$B$52,$B58,F$2:F$52)</f>
        <v>320.93</v>
      </c>
      <c r="G58" s="18" t="n">
        <f aca="false">SUMIF($B$2:$B$52,$B58,G$2:G$52)</f>
        <v>277.92</v>
      </c>
      <c r="H58" s="18" t="n">
        <f aca="false">SUMIF($B$2:$B$52,$B58,H$2:H$52)</f>
        <v>291.46</v>
      </c>
      <c r="I58" s="18" t="n">
        <f aca="false">SUMIF($B$2:$B$52,$B58,I$2:I$52)</f>
        <v>370.04</v>
      </c>
      <c r="J58" s="18" t="n">
        <f aca="false">SUMIF($B$2:$B$52,$B58,J$2:J$52)</f>
        <v>237.46</v>
      </c>
      <c r="K58" s="18" t="n">
        <f aca="false">SUMIF($B$2:$B$52,$B58,K$2:K$52)</f>
        <v>316.72</v>
      </c>
      <c r="L58" s="18" t="n">
        <f aca="false">SUMIF($B$2:$B$52,$B58,L$2:L$52)</f>
        <v>262.7</v>
      </c>
      <c r="M58" s="18" t="n">
        <f aca="false">SUMIF($B$2:$B$52,$B58,M$2:M$52)</f>
        <v>244.22</v>
      </c>
      <c r="N58" s="18" t="n">
        <f aca="false">SUMIF($B$2:$B$52,$B58,N$2:N$52)</f>
        <v>318.44</v>
      </c>
      <c r="O58" s="7" t="n">
        <f aca="false">SUM(C58:N58)</f>
        <v>3746.13</v>
      </c>
      <c r="P58" s="7" t="n">
        <f aca="false">AVERAGE(C58:N58)</f>
        <v>312.1775</v>
      </c>
    </row>
    <row r="59" customFormat="false" ht="15.75" hidden="false" customHeight="false" outlineLevel="0" collapsed="false">
      <c r="A59" s="17" t="s">
        <v>12</v>
      </c>
      <c r="B59" s="17" t="n">
        <v>2023</v>
      </c>
      <c r="C59" s="18" t="n">
        <f aca="false">SUMIF($B$2:$B$52,$B59,C$2:C$52)</f>
        <v>419.64</v>
      </c>
      <c r="D59" s="18" t="n">
        <f aca="false">SUMIF($B$2:$B$52,$B59,D$2:D$52)</f>
        <v>271.71</v>
      </c>
      <c r="E59" s="18" t="n">
        <f aca="false">SUMIF($B$2:$B$52,$B59,E$2:E$52)</f>
        <v>228.51</v>
      </c>
      <c r="F59" s="18" t="n">
        <f aca="false">SUMIF($B$2:$B$52,$B59,F$2:F$52)</f>
        <v>203.1</v>
      </c>
      <c r="G59" s="18" t="n">
        <f aca="false">SUMIF($B$2:$B$52,$B59,G$2:G$52)</f>
        <v>199.65</v>
      </c>
      <c r="H59" s="18" t="n">
        <f aca="false">SUMIF($B$2:$B$52,$B59,H$2:H$52)</f>
        <v>235.91</v>
      </c>
      <c r="I59" s="18" t="n">
        <f aca="false">SUMIF($B$2:$B$52,$B59,I$2:I$52)</f>
        <v>282.38</v>
      </c>
      <c r="J59" s="18" t="n">
        <f aca="false">SUMIF($B$2:$B$52,$B59,J$2:J$52)</f>
        <v>318.88</v>
      </c>
      <c r="K59" s="18" t="n">
        <f aca="false">SUMIF($B$2:$B$52,$B59,K$2:K$52)</f>
        <v>322.87</v>
      </c>
      <c r="L59" s="18" t="n">
        <f aca="false">SUMIF($B$2:$B$52,$B59,L$2:L$52)</f>
        <v>327.96</v>
      </c>
      <c r="M59" s="18" t="n">
        <f aca="false">SUMIF($B$2:$B$52,$B59,M$2:M$52)</f>
        <v>322.67</v>
      </c>
      <c r="N59" s="18" t="n">
        <f aca="false">SUMIF($B$2:$B$52,$B59,N$2:N$52)</f>
        <v>353.77</v>
      </c>
      <c r="O59" s="7" t="n">
        <f aca="false">SUM(C59:N59)</f>
        <v>3487.05</v>
      </c>
      <c r="P59" s="7" t="n">
        <f aca="false">AVERAGE(C59:N59)</f>
        <v>290.5875</v>
      </c>
    </row>
    <row r="60" customFormat="false" ht="15.75" hidden="false" customHeight="false" outlineLevel="0" collapsed="false">
      <c r="A60" s="17" t="s">
        <v>12</v>
      </c>
      <c r="B60" s="17" t="n">
        <v>2024</v>
      </c>
      <c r="C60" s="18" t="n">
        <f aca="false">SUMIF($B$2:$B$52,$B60,C$2:C$52)</f>
        <v>259.71</v>
      </c>
      <c r="D60" s="18" t="n">
        <f aca="false">SUMIF($B$2:$B$52,$B60,D$2:D$52)</f>
        <v>308.51</v>
      </c>
      <c r="E60" s="18" t="n">
        <f aca="false">SUMIF($B$2:$B$52,$B60,E$2:E$52)</f>
        <v>282.18</v>
      </c>
      <c r="F60" s="18" t="n">
        <f aca="false">SUMIF($B$2:$B$52,$B60,F$2:F$52)</f>
        <v>268.82</v>
      </c>
      <c r="G60" s="18" t="n">
        <f aca="false">SUMIF($B$2:$B$52,$B60,G$2:G$52)</f>
        <v>254.3</v>
      </c>
      <c r="H60" s="18" t="n">
        <f aca="false">SUMIF($B$2:$B$52,$B60,H$2:H$52)</f>
        <v>228.33</v>
      </c>
      <c r="I60" s="18" t="n">
        <f aca="false">SUMIF($B$2:$B$52,$B60,I$2:I$52)</f>
        <v>284.63</v>
      </c>
      <c r="J60" s="18" t="n">
        <f aca="false">SUMIF($B$2:$B$52,$B60,J$2:J$52)</f>
        <v>284.04</v>
      </c>
      <c r="K60" s="18" t="n">
        <f aca="false">SUMIF($B$2:$B$52,$B60,K$2:K$52)</f>
        <v>275.44</v>
      </c>
      <c r="L60" s="18" t="n">
        <f aca="false">SUMIF($B$2:$B$52,$B60,L$2:L$52)</f>
        <v>248.45</v>
      </c>
      <c r="M60" s="18" t="n">
        <f aca="false">SUMIF($B$2:$B$52,$B60,M$2:M$52)</f>
        <v>226.68</v>
      </c>
      <c r="N60" s="18" t="n">
        <f aca="false">SUMIF($B$2:$B$52,$B60,N$2:N$52)</f>
        <v>277.9</v>
      </c>
      <c r="O60" s="7" t="n">
        <f aca="false">SUM(C60:N60)</f>
        <v>3198.99</v>
      </c>
      <c r="P60" s="7" t="n">
        <f aca="false">AVERAGE(C60:N60)</f>
        <v>266.5825</v>
      </c>
    </row>
    <row r="61" customFormat="false" ht="15.75" hidden="false" customHeight="false" outlineLevel="0" collapsed="false">
      <c r="A61" s="17" t="s">
        <v>12</v>
      </c>
      <c r="B61" s="17" t="n">
        <v>2025</v>
      </c>
      <c r="C61" s="18" t="n">
        <f aca="false">SUMIF($B$2:$B$52,$B61,C$2:C$52)</f>
        <v>326.92</v>
      </c>
      <c r="D61" s="18" t="n">
        <f aca="false">SUMIF($B$2:$B$52,$B61,D$2:D$52)</f>
        <v>375.11</v>
      </c>
      <c r="E61" s="18" t="n">
        <f aca="false">SUMIF($B$2:$B$52,$B61,E$2:E$52)</f>
        <v>330.68</v>
      </c>
      <c r="F61" s="18" t="n">
        <f aca="false">SUMIF($B$2:$B$52,$B61,F$2:F$52)</f>
        <v>292.73</v>
      </c>
      <c r="G61" s="18" t="n">
        <f aca="false">SUMIF($B$2:$B$52,$B61,G$2:G$52)</f>
        <v>270.12</v>
      </c>
      <c r="H61" s="18" t="n">
        <f aca="false">SUMIF($B$2:$B$52,$B61,H$2:H$52)</f>
        <v>252.62</v>
      </c>
      <c r="I61" s="18" t="n">
        <f aca="false">SUMIF($B$2:$B$52,$B61,I$2:I$52)</f>
        <v>345.08</v>
      </c>
      <c r="J61" s="18" t="n">
        <f aca="false">SUMIF($B$2:$B$52,$B61,J$2:J$52)</f>
        <v>365.37</v>
      </c>
      <c r="K61" s="18" t="n">
        <f aca="false">SUMIF($B$2:$B$52,$B61,K$2:K$52)</f>
        <v>319.2</v>
      </c>
      <c r="L61" s="18" t="n">
        <f aca="false">SUMIF($B$2:$B$52,$B61,L$2:L$52)</f>
        <v>304.25</v>
      </c>
      <c r="M61" s="18" t="n">
        <f aca="false">SUMIF($B$2:$B$52,$B61,M$2:M$52)</f>
        <v>251.54</v>
      </c>
      <c r="N61" s="18" t="n">
        <f aca="false">SUMIF($B$2:$B$52,$B61,N$2:N$52)</f>
        <v>331.57</v>
      </c>
      <c r="O61" s="7" t="n">
        <f aca="false">SUM(C61:N61)</f>
        <v>3765.19</v>
      </c>
      <c r="P61" s="7" t="n">
        <f aca="false">AVERAGE(C61:N61)</f>
        <v>313.765833333333</v>
      </c>
    </row>
    <row r="62" customFormat="false" ht="15.75" hidden="false" customHeight="false" outlineLevel="0" collapsed="false">
      <c r="A62" s="17" t="s">
        <v>12</v>
      </c>
      <c r="B62" s="17" t="n">
        <v>2026</v>
      </c>
      <c r="C62" s="18" t="n">
        <f aca="false">SUMIF($B$2:$B$52,$B62,C$2:C$52)</f>
        <v>532.84</v>
      </c>
      <c r="D62" s="18" t="n">
        <f aca="false">SUMIF($B$2:$B$52,$B62,D$2:D$52)</f>
        <v>415.23</v>
      </c>
      <c r="E62" s="18" t="n">
        <f aca="false">SUMIF($B$2:$B$52,$B62,E$2:E$52)</f>
        <v>0</v>
      </c>
      <c r="F62" s="18" t="n">
        <f aca="false">SUMIF($B$2:$B$52,$B62,F$2:F$52)</f>
        <v>0</v>
      </c>
      <c r="G62" s="18" t="n">
        <f aca="false">SUMIF($B$2:$B$52,$B62,G$2:G$52)</f>
        <v>0</v>
      </c>
      <c r="H62" s="18" t="n">
        <f aca="false">SUMIF($B$2:$B$52,$B62,H$2:H$52)</f>
        <v>0</v>
      </c>
      <c r="I62" s="18" t="n">
        <f aca="false">SUMIF($B$2:$B$52,$B62,I$2:I$52)</f>
        <v>0</v>
      </c>
      <c r="J62" s="18" t="n">
        <f aca="false">SUMIF($B$2:$B$52,$B62,J$2:J$52)</f>
        <v>0</v>
      </c>
      <c r="K62" s="18" t="n">
        <f aca="false">SUMIF($B$2:$B$52,$B62,K$2:K$52)</f>
        <v>0</v>
      </c>
      <c r="L62" s="18" t="n">
        <f aca="false">SUMIF($B$2:$B$52,$B62,L$2:L$52)</f>
        <v>0</v>
      </c>
      <c r="M62" s="18" t="n">
        <f aca="false">SUMIF($B$2:$B$52,$B62,M$2:M$52)</f>
        <v>0</v>
      </c>
      <c r="N62" s="18" t="n">
        <f aca="false">SUMIF($B$2:$B$52,$B62,N$2:N$52)</f>
        <v>0</v>
      </c>
      <c r="O62" s="7" t="n">
        <f aca="false">SUM(C62:N62)</f>
        <v>948.07</v>
      </c>
      <c r="P62" s="7" t="n">
        <f aca="false">AVERAGE(C62:N62)</f>
        <v>79.0058333333333</v>
      </c>
    </row>
    <row r="64" customFormat="false" ht="15.75" hidden="false" customHeight="false" outlineLevel="0" collapsed="false">
      <c r="A64" s="4"/>
    </row>
    <row r="65" customFormat="false" ht="15.75" hidden="false" customHeight="false" outlineLevel="0" collapsed="false">
      <c r="A65" s="4" t="s">
        <v>13</v>
      </c>
      <c r="C65" s="12" t="n">
        <f aca="false">SUM(C53:C63)/COUNT(C53:C63)</f>
        <v>338.923333333333</v>
      </c>
      <c r="D65" s="12" t="n">
        <f aca="false">SUM(D53:D63)/COUNT(D53:D63)</f>
        <v>325.535555555556</v>
      </c>
      <c r="E65" s="12" t="n">
        <f aca="false">SUM(E53:E63)/COUNT(E53:E63)</f>
        <v>255.281111111111</v>
      </c>
      <c r="F65" s="12" t="n">
        <f aca="false">SUM(F53:F63)/COUNT(F53:F63)</f>
        <v>234.158888888889</v>
      </c>
      <c r="G65" s="12" t="n">
        <f aca="false">SUM(G53:G63)/COUNT(G53:G63)</f>
        <v>207.527777777778</v>
      </c>
      <c r="H65" s="12" t="n">
        <f aca="false">SUM(H53:H63)/COUNT(H53:H63)</f>
        <v>202.333</v>
      </c>
      <c r="I65" s="12" t="n">
        <f aca="false">SUM(I53:I63)/COUNT(I53:I63)</f>
        <v>248.226</v>
      </c>
      <c r="J65" s="12" t="n">
        <f aca="false">SUM(J53:J63)/COUNT(J53:J63)</f>
        <v>240.052</v>
      </c>
      <c r="K65" s="12" t="n">
        <f aca="false">SUM(K53:K63)/COUNT(K53:K63)</f>
        <v>240.974</v>
      </c>
      <c r="L65" s="12" t="n">
        <f aca="false">SUM(L53:L63)/COUNT(L53:L63)</f>
        <v>215.67</v>
      </c>
      <c r="M65" s="12" t="n">
        <f aca="false">SUM(M53:M63)/COUNT(M53:M63)</f>
        <v>205.916</v>
      </c>
      <c r="N65" s="12" t="n">
        <f aca="false">SUM(N53:N63)/COUNT(N53:N63)</f>
        <v>260.451</v>
      </c>
      <c r="O65" s="12" t="n">
        <f aca="false">SUM(O53:O63)/COUNT(O53:O63)</f>
        <v>2838.906</v>
      </c>
      <c r="P65" s="12" t="n">
        <f aca="false">SUM(P53:P63)/COUNT(P53:P63)</f>
        <v>243.927285714286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2026-03-26T08:46:43Z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
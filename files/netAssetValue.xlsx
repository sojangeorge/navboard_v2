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  <sheet name="Trend" sheetId="2" state="visible" r:id="rId4"/>
  </sheets>
  <definedNames>
    <definedName function="false" hidden="false" name="Statu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<sst xmlns="http://schemas.openxmlformats.org/spreadsheetml/2006/main" count="62" uniqueCount="60">
  <si>
    <t xml:space="preserve">Description</t>
  </si>
  <si>
    <t xml:space="preserve">Clone</t>
  </si>
  <si>
    <t xml:space="preserve">Conversions</t>
  </si>
  <si>
    <t xml:space="preserve">Gold price per gram</t>
  </si>
  <si>
    <t xml:space="preserve">INR to USD</t>
  </si>
  <si>
    <t xml:space="preserve">Net change</t>
  </si>
  <si>
    <t xml:space="preserve">Net value</t>
  </si>
  <si>
    <t xml:space="preserve">Net Balance USD</t>
  </si>
  <si>
    <t xml:space="preserve">Net Balance INR</t>
  </si>
  <si>
    <t xml:space="preserve">Net Change INR</t>
  </si>
  <si>
    <t xml:space="preserve">Net Change USD</t>
  </si>
  <si>
    <t xml:space="preserve">Net Monthly Change</t>
  </si>
  <si>
    <t xml:space="preserve">Assets</t>
  </si>
  <si>
    <t xml:space="preserve">US Checking</t>
  </si>
  <si>
    <t xml:space="preserve">US Checking Limna</t>
  </si>
  <si>
    <t xml:space="preserve">US Savings1</t>
  </si>
  <si>
    <t xml:space="preserve">US Savings2</t>
  </si>
  <si>
    <t xml:space="preserve">US Checking2 SBI</t>
  </si>
  <si>
    <t xml:space="preserve">Total Cash USD</t>
  </si>
  <si>
    <t xml:space="preserve">Total Cash INR</t>
  </si>
  <si>
    <t xml:space="preserve">Percentage Change</t>
  </si>
  <si>
    <t xml:space="preserve">US Trading1 - Robinhood</t>
  </si>
  <si>
    <t xml:space="preserve">US Trading2 - IBKR</t>
  </si>
  <si>
    <t xml:space="preserve">US Trading3 - Fidelity</t>
  </si>
  <si>
    <t xml:space="preserve">US Trading4 - Limna</t>
  </si>
  <si>
    <t xml:space="preserve">IRA - Sojan</t>
  </si>
  <si>
    <t xml:space="preserve">IRA - Limna</t>
  </si>
  <si>
    <t xml:space="preserve">401K - Sojan</t>
  </si>
  <si>
    <t xml:space="preserve">401K - Limna</t>
  </si>
  <si>
    <t xml:space="preserve">HSA</t>
  </si>
  <si>
    <t xml:space="preserve">Treasury</t>
  </si>
  <si>
    <t xml:space="preserve">UST Stocks</t>
  </si>
  <si>
    <t xml:space="preserve">Total Stocks USD</t>
  </si>
  <si>
    <t xml:space="preserve">Total Stocks INR</t>
  </si>
  <si>
    <t xml:space="preserve">India Checking</t>
  </si>
  <si>
    <t xml:space="preserve">India FD 1</t>
  </si>
  <si>
    <t xml:space="preserve">India FD 2</t>
  </si>
  <si>
    <t xml:space="preserve">India FD (12/20)</t>
  </si>
  <si>
    <t xml:space="preserve">India from Pappa</t>
  </si>
  <si>
    <t xml:space="preserve">India Total Rupees</t>
  </si>
  <si>
    <t xml:space="preserve">India Total USD</t>
  </si>
  <si>
    <t xml:space="preserve">Gold</t>
  </si>
  <si>
    <t xml:space="preserve">Gold Value</t>
  </si>
  <si>
    <t xml:space="preserve">US Home Value (Approx)</t>
  </si>
  <si>
    <t xml:space="preserve">Credit - Mahesh B</t>
  </si>
  <si>
    <t xml:space="preserve">Credit - Rakesh (2 weeks)</t>
  </si>
  <si>
    <t xml:space="preserve">Credit - Den </t>
  </si>
  <si>
    <t xml:space="preserve">Credit - Sandeep</t>
  </si>
  <si>
    <t xml:space="preserve">Credit - Raghu</t>
  </si>
  <si>
    <t xml:space="preserve">Total Assets USD</t>
  </si>
  <si>
    <t xml:space="preserve">Total Assets INR</t>
  </si>
  <si>
    <t xml:space="preserve">Liabilities</t>
  </si>
  <si>
    <t xml:space="preserve">Home</t>
  </si>
  <si>
    <t xml:space="preserve">HVAC Loan</t>
  </si>
  <si>
    <t xml:space="preserve">Car Loan</t>
  </si>
  <si>
    <t xml:space="preserve">Sidings</t>
  </si>
  <si>
    <t xml:space="preserve">Taxes</t>
  </si>
  <si>
    <t xml:space="preserve">Misc</t>
  </si>
  <si>
    <t xml:space="preserve">Total Liabilities USD</t>
  </si>
  <si>
    <t xml:space="preserve">Total Liabilities INR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</si>
</sst>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\$#,##0.00"/>
    <numFmt numFmtId="167" formatCode="\$#,##0.000"/>
    <numFmt numFmtId="168" formatCode="[$₹]#,##0.00"/>
    <numFmt numFmtId="169" formatCode="0.00%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sz val="9"/>
      <name val="Cambria"/>
      <family val="0"/>
      <charset val="1"/>
    </font>
    <font>
      <sz val="9"/>
      <color rgb="FFFFFFFF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9"/>
      <color rgb="FF000000"/>
      <name val="Cambria"/>
      <family val="0"/>
      <charset val="1"/>
    </font>
    <font>
      <sz val="9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9"/>
      <color rgb="FF000000"/>
      <name val="Cambria"/>
      <family val="0"/>
      <charset val="1"/>
    </font>
    <font>
      <b val="true"/>
      <sz val="9"/>
      <color rgb="FF000000"/>
      <name val="Arial"/>
      <family val="0"/>
      <charset val="1"/>
    </font>
    <font>
      <sz val="9"/>
      <name val="Arial"/>
      <family val="0"/>
      <charset val="1"/>
    </font>
    <font>
      <sz val="18"/>
      <color rgb="FF000000"/>
      <name val="Roboto"/>
      <family val="2"/>
    </font>
    <font>
      <sz val="10"/>
      <color rgb="FF000000"/>
      <name val="Roboto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434343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C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1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1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  <a:r>
              <a:rPr b="0" sz="1800" spc="-1" strike="noStrike">
                <a:solidFill>
                  <a:srgbClr val="000000"/>
                </a:solidFill>
                <a:latin typeface="Roboto"/>
                <a:ea typeface="DejaVu Sans"/>
              </a:rPr>
              <a:t>Net Balance USD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Portfolio!$A$7:$C$7</c:f>
              <c:strCache>
                <c:ptCount val="1"/>
                <c:pt idx="0">
                  <c:v>Net value Net Balance USD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4285f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Portfolio!$D$2:$AH$2</c:f>
              <c:strCache>
                <c:ptCount val="31"/>
                <c:pt idx="0">
                  <c:v>7/8/2018</c:v>
                </c:pt>
                <c:pt idx="1">
                  <c:v>10/19/2018</c:v>
                </c:pt>
                <c:pt idx="2">
                  <c:v>12/31/2018</c:v>
                </c:pt>
                <c:pt idx="3">
                  <c:v>3/30/2019</c:v>
                </c:pt>
                <c:pt idx="4">
                  <c:v>6/29/2019</c:v>
                </c:pt>
                <c:pt idx="5">
                  <c:v>9/22/2019</c:v>
                </c:pt>
                <c:pt idx="6">
                  <c:v>12/27/2019</c:v>
                </c:pt>
                <c:pt idx="7">
                  <c:v>4/2/2020</c:v>
                </c:pt>
                <c:pt idx="8">
                  <c:v>7/3/2020</c:v>
                </c:pt>
                <c:pt idx="9">
                  <c:v>10/11/2020</c:v>
                </c:pt>
                <c:pt idx="10">
                  <c:v>12/26/2020</c:v>
                </c:pt>
                <c:pt idx="11">
                  <c:v>3/27/2021</c:v>
                </c:pt>
                <c:pt idx="12">
                  <c:v>6/26/2021</c:v>
                </c:pt>
                <c:pt idx="13">
                  <c:v>10/3/2021</c:v>
                </c:pt>
                <c:pt idx="14">
                  <c:v>1/3/2022</c:v>
                </c:pt>
                <c:pt idx="15">
                  <c:v>3/27/2022</c:v>
                </c:pt>
                <c:pt idx="16">
                  <c:v>8/4/2022</c:v>
                </c:pt>
                <c:pt idx="17">
                  <c:v>10/9/2022</c:v>
                </c:pt>
                <c:pt idx="18">
                  <c:v>12/29/2022</c:v>
                </c:pt>
                <c:pt idx="19">
                  <c:v>4/3/2023</c:v>
                </c:pt>
                <c:pt idx="20">
                  <c:v>8/29/2023</c:v>
                </c:pt>
                <c:pt idx="21">
                  <c:v>4/7/2024</c:v>
                </c:pt>
                <c:pt idx="22">
                  <c:v>8/13/2024</c:v>
                </c:pt>
                <c:pt idx="23">
                  <c:v>12/16/2024</c:v>
                </c:pt>
                <c:pt idx="24">
                  <c:v>3/16/2025</c:v>
                </c:pt>
                <c:pt idx="25">
                  <c:v>7/25/2025</c:v>
                </c:pt>
                <c:pt idx="26">
                  <c:v>10/15/2025</c:v>
                </c:pt>
                <c:pt idx="27">
                  <c:v>12/22/2025</c:v>
                </c:pt>
                <c:pt idx="28">
                  <c:v>Clone</c:v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Portfolio!$D$7:$AH$7</c:f>
              <c:numCache>
                <c:formatCode>\$#,##0.00</c:formatCode>
                <c:ptCount val="31"/>
                <c:pt idx="0">
                  <c:v>258868.81815</c:v>
                </c:pt>
                <c:pt idx="1">
                  <c:v>271057.70094</c:v>
                </c:pt>
                <c:pt idx="2">
                  <c:v>279671.12494</c:v>
                </c:pt>
                <c:pt idx="3">
                  <c:v>297981.974</c:v>
                </c:pt>
                <c:pt idx="4">
                  <c:v>325559.67565</c:v>
                </c:pt>
                <c:pt idx="5">
                  <c:v>341296.87194</c:v>
                </c:pt>
                <c:pt idx="6">
                  <c:v>367975.356</c:v>
                </c:pt>
                <c:pt idx="7">
                  <c:v>333704.364</c:v>
                </c:pt>
                <c:pt idx="8">
                  <c:v>392181.613</c:v>
                </c:pt>
                <c:pt idx="9">
                  <c:v>437445.734</c:v>
                </c:pt>
                <c:pt idx="10">
                  <c:v>483081.552</c:v>
                </c:pt>
                <c:pt idx="11">
                  <c:v>527842.174</c:v>
                </c:pt>
                <c:pt idx="12">
                  <c:v>563048.45173</c:v>
                </c:pt>
                <c:pt idx="13">
                  <c:v>585823.187</c:v>
                </c:pt>
                <c:pt idx="14">
                  <c:v>609516.252</c:v>
                </c:pt>
                <c:pt idx="15">
                  <c:v>601855.117</c:v>
                </c:pt>
                <c:pt idx="16">
                  <c:v>609082.856</c:v>
                </c:pt>
                <c:pt idx="17">
                  <c:v>541570.42</c:v>
                </c:pt>
                <c:pt idx="18">
                  <c:v>591597.896</c:v>
                </c:pt>
                <c:pt idx="19">
                  <c:v>619813.818</c:v>
                </c:pt>
                <c:pt idx="20">
                  <c:v>652714.02</c:v>
                </c:pt>
                <c:pt idx="21">
                  <c:v>656683.942</c:v>
                </c:pt>
                <c:pt idx="22">
                  <c:v>705459.608</c:v>
                </c:pt>
                <c:pt idx="23">
                  <c:v>803984.38</c:v>
                </c:pt>
                <c:pt idx="24">
                  <c:v>844734.95</c:v>
                </c:pt>
                <c:pt idx="25">
                  <c:v>932930.752</c:v>
                </c:pt>
                <c:pt idx="26">
                  <c:v>1413466.554</c:v>
                </c:pt>
                <c:pt idx="27">
                  <c:v>1428457.754</c:v>
                </c:pt>
                <c:pt idx="28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291901"/>
        <c:axId val="94612972"/>
      </c:lineChart>
      <c:catAx>
        <c:axId val="202919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</a:p>
        </c:txPr>
        <c:crossAx val="94612972"/>
        <c:crosses val="autoZero"/>
        <c:auto val="1"/>
        <c:lblAlgn val="ctr"/>
        <c:lblOffset val="100"/>
        <c:noMultiLvlLbl val="0"/>
      </c:catAx>
      <c:valAx>
        <c:axId val="94612972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Roboto"/>
                    <a:ea typeface="DejaVu Sans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Roboto"/>
                    <a:ea typeface="DejaVu Sans"/>
                  </a:rPr>
                  <a:t>Net Balance 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  <a:ea typeface="DejaVu Sans"/>
              </a:defRPr>
            </a:pPr>
          </a:p>
        </c:txPr>
        <c:crossAx val="20291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Roboto"/>
              <a:ea typeface="DejaVu Sans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217080</xdr:colOff>
      <xdr:row>38</xdr:row>
      <xdr:rowOff>98640</xdr:rowOff>
    </xdr:to>
    <xdr:graphicFrame>
      <xdr:nvGraphicFramePr>
        <xdr:cNvPr id="0" name="Chart 1"/>
        <xdr:cNvGraphicFramePr/>
      </xdr:nvGraphicFramePr>
      <xdr:xfrm>
        <a:off x="0" y="0"/>
        <a:ext cx="8609400" cy="627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70" activeCellId="0" sqref="B7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.25"/>
    <col collapsed="false" customWidth="true" hidden="false" outlineLevel="0" max="3" min="3" style="1" width="17.88"/>
    <col collapsed="false" customWidth="true" hidden="false" outlineLevel="0" max="11" min="11" style="1" width="12.38"/>
  </cols>
  <sheetData>
    <row r="1" customFormat="false" ht="15.75" hidden="false" customHeight="false" outlineLevel="0" collapsed="false">
      <c r="AC1" s="2"/>
      <c r="AD1" s="3"/>
    </row>
    <row r="2" customFormat="false" ht="15.75" hidden="false" customHeight="false" outlineLevel="0" collapsed="false">
      <c r="A2" s="4"/>
      <c r="B2" s="5"/>
      <c r="C2" s="6" t="s">
        <v>0</v>
      </c>
      <c r="D2" s="7" t="n">
        <v>43289</v>
      </c>
      <c r="E2" s="7" t="n">
        <v>43392</v>
      </c>
      <c r="F2" s="7" t="n">
        <v>43465</v>
      </c>
      <c r="G2" s="7" t="n">
        <v>43554</v>
      </c>
      <c r="H2" s="7" t="n">
        <v>43645</v>
      </c>
      <c r="I2" s="7" t="n">
        <v>43730</v>
      </c>
      <c r="J2" s="7" t="n">
        <v>43826</v>
      </c>
      <c r="K2" s="8" t="n">
        <v>43923</v>
      </c>
      <c r="L2" s="8" t="n">
        <v>44015</v>
      </c>
      <c r="M2" s="8" t="n">
        <v>44115</v>
      </c>
      <c r="N2" s="8" t="n">
        <v>44191</v>
      </c>
      <c r="O2" s="8" t="n">
        <v>44282</v>
      </c>
      <c r="P2" s="8" t="n">
        <v>44373</v>
      </c>
      <c r="Q2" s="8" t="n">
        <v>44472</v>
      </c>
      <c r="R2" s="8" t="n">
        <v>44564</v>
      </c>
      <c r="S2" s="8" t="n">
        <v>44647</v>
      </c>
      <c r="T2" s="8" t="n">
        <v>44777</v>
      </c>
      <c r="U2" s="8" t="n">
        <v>44843</v>
      </c>
      <c r="V2" s="8" t="n">
        <v>44924</v>
      </c>
      <c r="W2" s="8" t="n">
        <v>45019</v>
      </c>
      <c r="X2" s="8" t="n">
        <v>45167</v>
      </c>
      <c r="Y2" s="8" t="n">
        <v>45389</v>
      </c>
      <c r="Z2" s="8" t="n">
        <v>45517</v>
      </c>
      <c r="AA2" s="8" t="n">
        <v>45642</v>
      </c>
      <c r="AB2" s="8" t="n">
        <v>45732</v>
      </c>
      <c r="AC2" s="9" t="n">
        <v>45863</v>
      </c>
      <c r="AD2" s="9" t="n">
        <v>45945</v>
      </c>
      <c r="AE2" s="8" t="n">
        <v>46013</v>
      </c>
      <c r="AF2" s="10" t="s">
        <v>1</v>
      </c>
    </row>
    <row r="3" customFormat="false" ht="15.75" hidden="false" customHeight="false" outlineLevel="0" collapsed="false">
      <c r="A3" s="4"/>
      <c r="B3" s="11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4"/>
      <c r="AD3" s="15"/>
      <c r="AE3" s="13"/>
      <c r="AF3" s="13"/>
    </row>
    <row r="4" customFormat="false" ht="15.75" hidden="false" customHeight="false" outlineLevel="0" collapsed="false">
      <c r="A4" s="4"/>
      <c r="B4" s="11" t="s">
        <v>2</v>
      </c>
      <c r="C4" s="12" t="s">
        <v>3</v>
      </c>
      <c r="D4" s="13" t="n">
        <v>40.35</v>
      </c>
      <c r="E4" s="13" t="n">
        <v>39.46</v>
      </c>
      <c r="F4" s="13" t="n">
        <v>41.13</v>
      </c>
      <c r="G4" s="13" t="n">
        <v>41.57</v>
      </c>
      <c r="H4" s="13" t="n">
        <v>45.35</v>
      </c>
      <c r="I4" s="13" t="n">
        <v>48.82</v>
      </c>
      <c r="J4" s="13" t="n">
        <v>48.56</v>
      </c>
      <c r="K4" s="13" t="n">
        <v>52.21</v>
      </c>
      <c r="L4" s="13" t="n">
        <v>56.94</v>
      </c>
      <c r="M4" s="13" t="n">
        <v>62.38</v>
      </c>
      <c r="N4" s="13" t="n">
        <v>60.58</v>
      </c>
      <c r="O4" s="13" t="n">
        <v>55.92</v>
      </c>
      <c r="P4" s="13" t="n">
        <v>57.46</v>
      </c>
      <c r="Q4" s="13" t="n">
        <v>56.89</v>
      </c>
      <c r="R4" s="13" t="n">
        <v>58.39</v>
      </c>
      <c r="S4" s="13" t="n">
        <v>63.21</v>
      </c>
      <c r="T4" s="13" t="n">
        <v>56.87</v>
      </c>
      <c r="U4" s="13" t="n">
        <v>54.49</v>
      </c>
      <c r="V4" s="13" t="n">
        <v>58.75</v>
      </c>
      <c r="W4" s="13" t="n">
        <v>63.78</v>
      </c>
      <c r="X4" s="13" t="n">
        <v>61.99</v>
      </c>
      <c r="Y4" s="13" t="n">
        <v>74.92</v>
      </c>
      <c r="Z4" s="13" t="n">
        <v>79.12</v>
      </c>
      <c r="AA4" s="13" t="n">
        <v>85.68</v>
      </c>
      <c r="AB4" s="13" t="n">
        <v>96.53</v>
      </c>
      <c r="AC4" s="16" t="n">
        <v>108</v>
      </c>
      <c r="AD4" s="16" t="n">
        <v>132</v>
      </c>
      <c r="AE4" s="13" t="n">
        <v>132</v>
      </c>
      <c r="AF4" s="13" t="n">
        <v>0</v>
      </c>
    </row>
    <row r="5" customFormat="false" ht="15.75" hidden="false" customHeight="false" outlineLevel="0" collapsed="false">
      <c r="A5" s="4"/>
      <c r="B5" s="4"/>
      <c r="C5" s="12" t="s">
        <v>4</v>
      </c>
      <c r="D5" s="17" t="n">
        <v>0.015</v>
      </c>
      <c r="E5" s="17" t="n">
        <v>0.014</v>
      </c>
      <c r="F5" s="17" t="n">
        <v>0.014</v>
      </c>
      <c r="G5" s="17" t="n">
        <v>0.014</v>
      </c>
      <c r="H5" s="17" t="n">
        <v>0.015</v>
      </c>
      <c r="I5" s="17" t="n">
        <v>0.014</v>
      </c>
      <c r="J5" s="17" t="n">
        <v>0.014</v>
      </c>
      <c r="K5" s="17" t="n">
        <v>0.013</v>
      </c>
      <c r="L5" s="17" t="n">
        <v>0.013</v>
      </c>
      <c r="M5" s="17" t="n">
        <v>0.014</v>
      </c>
      <c r="N5" s="17" t="n">
        <v>0.014</v>
      </c>
      <c r="O5" s="18" t="n">
        <v>0.014</v>
      </c>
      <c r="P5" s="17" t="n">
        <v>0.013</v>
      </c>
      <c r="Q5" s="17" t="n">
        <v>0.013</v>
      </c>
      <c r="R5" s="17" t="n">
        <v>0.013</v>
      </c>
      <c r="S5" s="17" t="n">
        <v>0.013</v>
      </c>
      <c r="T5" s="17" t="n">
        <v>0.013</v>
      </c>
      <c r="U5" s="17" t="n">
        <v>0.012</v>
      </c>
      <c r="V5" s="17" t="n">
        <v>0.012</v>
      </c>
      <c r="W5" s="17" t="n">
        <v>0.012</v>
      </c>
      <c r="X5" s="17" t="n">
        <v>0.012</v>
      </c>
      <c r="Y5" s="17" t="n">
        <v>0.012</v>
      </c>
      <c r="Z5" s="17" t="n">
        <v>0.012</v>
      </c>
      <c r="AA5" s="17" t="n">
        <v>0.012</v>
      </c>
      <c r="AB5" s="17" t="n">
        <v>0.012</v>
      </c>
      <c r="AC5" s="19" t="n">
        <v>0.012</v>
      </c>
      <c r="AD5" s="19" t="n">
        <v>0.011</v>
      </c>
      <c r="AE5" s="17" t="n">
        <v>0.011</v>
      </c>
      <c r="AF5" s="17" t="n">
        <v>0</v>
      </c>
    </row>
    <row r="6" customFormat="false" ht="15.75" hidden="false" customHeight="false" outlineLevel="0" collapsed="false">
      <c r="A6" s="4"/>
      <c r="B6" s="4"/>
      <c r="C6" s="20" t="s">
        <v>5</v>
      </c>
      <c r="D6" s="21"/>
      <c r="E6" s="21" t="n">
        <f aca="false">E7-D7</f>
        <v>12188.88279</v>
      </c>
      <c r="F6" s="21" t="n">
        <f aca="false">F7-E7</f>
        <v>8613.424</v>
      </c>
      <c r="G6" s="21" t="n">
        <f aca="false">G7-F7</f>
        <v>18310.84906</v>
      </c>
      <c r="H6" s="21" t="n">
        <f aca="false">H7-G7</f>
        <v>27577.7016499999</v>
      </c>
      <c r="I6" s="21" t="n">
        <f aca="false">I7-H7</f>
        <v>15737.1962900001</v>
      </c>
      <c r="J6" s="21" t="n">
        <f aca="false">J7-I7</f>
        <v>26678.48406</v>
      </c>
      <c r="K6" s="21" t="n">
        <f aca="false">K7-J7</f>
        <v>-34270.992</v>
      </c>
      <c r="L6" s="21" t="n">
        <f aca="false">L7-K7</f>
        <v>58477.249</v>
      </c>
      <c r="M6" s="21" t="n">
        <f aca="false">M7-L7</f>
        <v>45264.121</v>
      </c>
      <c r="N6" s="21" t="n">
        <f aca="false">N7-M7</f>
        <v>45635.818</v>
      </c>
      <c r="O6" s="21" t="n">
        <f aca="false">O7-N7</f>
        <v>44760.6220000002</v>
      </c>
      <c r="P6" s="21" t="n">
        <f aca="false">P7-O7</f>
        <v>35206.27773</v>
      </c>
      <c r="Q6" s="21" t="n">
        <f aca="false">Q7-P7</f>
        <v>22774.7352699998</v>
      </c>
      <c r="R6" s="21" t="n">
        <f aca="false">R7-Q7</f>
        <v>23693.0650000001</v>
      </c>
      <c r="S6" s="21" t="n">
        <f aca="false">S7-R7</f>
        <v>-7661.13500000001</v>
      </c>
      <c r="T6" s="21" t="n">
        <f aca="false">T7-S7</f>
        <v>7227.73900000006</v>
      </c>
      <c r="U6" s="21" t="n">
        <f aca="false">U7-T7</f>
        <v>-67512.4360000001</v>
      </c>
      <c r="V6" s="21" t="n">
        <f aca="false">V7-U7</f>
        <v>50027.476</v>
      </c>
      <c r="W6" s="21" t="n">
        <f aca="false">W7-V7</f>
        <v>28215.922</v>
      </c>
      <c r="X6" s="21" t="n">
        <f aca="false">X7-W7</f>
        <v>32900.2020000001</v>
      </c>
      <c r="Y6" s="21" t="n">
        <f aca="false">Y7-X7</f>
        <v>3969.92200000002</v>
      </c>
      <c r="Z6" s="21" t="n">
        <f aca="false">Z7-Y7</f>
        <v>48775.666</v>
      </c>
      <c r="AA6" s="21" t="n">
        <f aca="false">AA7-Z7</f>
        <v>98524.772</v>
      </c>
      <c r="AB6" s="21" t="n">
        <f aca="false">AB7-AA7</f>
        <v>40750.57</v>
      </c>
      <c r="AC6" s="21" t="n">
        <f aca="false">AC7-AB7</f>
        <v>88195.802</v>
      </c>
      <c r="AD6" s="21" t="n">
        <f aca="false">AD7-AC7</f>
        <v>480535.802</v>
      </c>
      <c r="AE6" s="21" t="n">
        <f aca="false">AE7-AD7</f>
        <v>14991.2000000002</v>
      </c>
      <c r="AF6" s="21" t="n">
        <f aca="false">AF7-AE7</f>
        <v>-1428457.754</v>
      </c>
    </row>
    <row r="7" customFormat="false" ht="15.75" hidden="false" customHeight="false" outlineLevel="0" collapsed="false">
      <c r="A7" s="4"/>
      <c r="B7" s="11" t="s">
        <v>6</v>
      </c>
      <c r="C7" s="20" t="s">
        <v>7</v>
      </c>
      <c r="D7" s="21" t="n">
        <f aca="false">D55-D65</f>
        <v>258868.81815</v>
      </c>
      <c r="E7" s="21" t="n">
        <f aca="false">E55-E65</f>
        <v>271057.70094</v>
      </c>
      <c r="F7" s="21" t="n">
        <f aca="false">F55-F65</f>
        <v>279671.12494</v>
      </c>
      <c r="G7" s="21" t="n">
        <f aca="false">G55-G65</f>
        <v>297981.974</v>
      </c>
      <c r="H7" s="21" t="n">
        <f aca="false">H55-H65</f>
        <v>325559.67565</v>
      </c>
      <c r="I7" s="21" t="n">
        <f aca="false">I55-I65</f>
        <v>341296.87194</v>
      </c>
      <c r="J7" s="21" t="n">
        <f aca="false">J55-J65</f>
        <v>367975.356</v>
      </c>
      <c r="K7" s="21" t="n">
        <f aca="false">K55-K65</f>
        <v>333704.364</v>
      </c>
      <c r="L7" s="21" t="n">
        <f aca="false">L55-L65</f>
        <v>392181.613</v>
      </c>
      <c r="M7" s="21" t="n">
        <f aca="false">M55-M65</f>
        <v>437445.734</v>
      </c>
      <c r="N7" s="21" t="n">
        <f aca="false">N55-N65</f>
        <v>483081.552</v>
      </c>
      <c r="O7" s="21" t="n">
        <f aca="false">O55-O65</f>
        <v>527842.174</v>
      </c>
      <c r="P7" s="21" t="n">
        <f aca="false">P55-P65</f>
        <v>563048.45173</v>
      </c>
      <c r="Q7" s="21" t="n">
        <f aca="false">Q55-Q65</f>
        <v>585823.187</v>
      </c>
      <c r="R7" s="21" t="n">
        <f aca="false">R55-R65</f>
        <v>609516.252</v>
      </c>
      <c r="S7" s="21" t="n">
        <f aca="false">S55-S65</f>
        <v>601855.117</v>
      </c>
      <c r="T7" s="21" t="n">
        <f aca="false">T55-T65</f>
        <v>609082.856</v>
      </c>
      <c r="U7" s="21" t="n">
        <f aca="false">U55-U65</f>
        <v>541570.42</v>
      </c>
      <c r="V7" s="21" t="n">
        <f aca="false">V55-V65</f>
        <v>591597.896</v>
      </c>
      <c r="W7" s="21" t="n">
        <f aca="false">W55-W65</f>
        <v>619813.818</v>
      </c>
      <c r="X7" s="21" t="n">
        <f aca="false">X55-X65</f>
        <v>652714.02</v>
      </c>
      <c r="Y7" s="21" t="n">
        <f aca="false">Y55-Y65</f>
        <v>656683.942</v>
      </c>
      <c r="Z7" s="21" t="n">
        <f aca="false">Z55-Z65</f>
        <v>705459.608</v>
      </c>
      <c r="AA7" s="21" t="n">
        <f aca="false">AA55-AA65</f>
        <v>803984.38</v>
      </c>
      <c r="AB7" s="21" t="n">
        <f aca="false">AB55-AB65</f>
        <v>844734.95</v>
      </c>
      <c r="AC7" s="21" t="n">
        <f aca="false">AC55-AC65</f>
        <v>932930.752</v>
      </c>
      <c r="AD7" s="21" t="n">
        <f aca="false">AD55-AD65</f>
        <v>1413466.554</v>
      </c>
      <c r="AE7" s="21" t="n">
        <f aca="false">AE55-AE65</f>
        <v>1428457.754</v>
      </c>
      <c r="AF7" s="21" t="n">
        <f aca="false">AF55-AF65</f>
        <v>0</v>
      </c>
    </row>
    <row r="8" customFormat="false" ht="15.75" hidden="false" customHeight="false" outlineLevel="0" collapsed="false">
      <c r="A8" s="4"/>
      <c r="B8" s="4"/>
      <c r="C8" s="22" t="s">
        <v>8</v>
      </c>
      <c r="D8" s="23" t="n">
        <f aca="false">D7/D5</f>
        <v>17257921.21</v>
      </c>
      <c r="E8" s="23" t="n">
        <f aca="false">E7/E5</f>
        <v>19361264.3528571</v>
      </c>
      <c r="F8" s="23" t="n">
        <f aca="false">F7/F5</f>
        <v>19976508.9242857</v>
      </c>
      <c r="G8" s="23" t="n">
        <f aca="false">G7/G5</f>
        <v>21284426.7142857</v>
      </c>
      <c r="H8" s="23" t="n">
        <f aca="false">H7/H5</f>
        <v>21703978.3766667</v>
      </c>
      <c r="I8" s="23" t="n">
        <f aca="false">I7/I5</f>
        <v>24378347.9957143</v>
      </c>
      <c r="J8" s="23" t="n">
        <f aca="false">J7/J5</f>
        <v>26283954</v>
      </c>
      <c r="K8" s="23" t="n">
        <f aca="false">K7/K5</f>
        <v>25669566.4615385</v>
      </c>
      <c r="L8" s="23" t="n">
        <f aca="false">L7/L5</f>
        <v>30167816.3846154</v>
      </c>
      <c r="M8" s="23" t="n">
        <f aca="false">M7/M5</f>
        <v>31246123.8571429</v>
      </c>
      <c r="N8" s="23" t="n">
        <f aca="false">N7/N5</f>
        <v>34505825.1428571</v>
      </c>
      <c r="O8" s="23" t="n">
        <f aca="false">O7/O5</f>
        <v>37703012.4285714</v>
      </c>
      <c r="P8" s="23" t="n">
        <f aca="false">P7/P5</f>
        <v>43311419.3638462</v>
      </c>
      <c r="Q8" s="23" t="n">
        <f aca="false">Q7/Q5</f>
        <v>45063322.0769231</v>
      </c>
      <c r="R8" s="23" t="n">
        <f aca="false">R7/R5</f>
        <v>46885865.5384615</v>
      </c>
      <c r="S8" s="23" t="n">
        <f aca="false">S7/S5</f>
        <v>46296547.4615385</v>
      </c>
      <c r="T8" s="23" t="n">
        <f aca="false">T7/T5</f>
        <v>46852527.3846154</v>
      </c>
      <c r="U8" s="23" t="n">
        <f aca="false">U7/U5</f>
        <v>45130868.3333333</v>
      </c>
      <c r="V8" s="23" t="n">
        <f aca="false">V7/V5</f>
        <v>49299824.6666667</v>
      </c>
      <c r="W8" s="23" t="n">
        <f aca="false">W7/W5</f>
        <v>51651151.5</v>
      </c>
      <c r="X8" s="23" t="n">
        <f aca="false">X7/X5</f>
        <v>54392835</v>
      </c>
      <c r="Y8" s="23" t="n">
        <f aca="false">Y7/Y5</f>
        <v>54723661.8333333</v>
      </c>
      <c r="Z8" s="23" t="n">
        <f aca="false">Z7/Z5</f>
        <v>58788300.6666667</v>
      </c>
      <c r="AA8" s="23" t="n">
        <f aca="false">AA7/AA5</f>
        <v>66998698.3333333</v>
      </c>
      <c r="AB8" s="23" t="n">
        <f aca="false">AB7/AB5</f>
        <v>70394579.1666667</v>
      </c>
      <c r="AC8" s="23" t="n">
        <f aca="false">AC7/AC5</f>
        <v>77744229.3333333</v>
      </c>
      <c r="AD8" s="23" t="n">
        <f aca="false">AD7/AD5</f>
        <v>128496959.454545</v>
      </c>
      <c r="AE8" s="23" t="n">
        <f aca="false">AE7/AE5</f>
        <v>129859795.818182</v>
      </c>
      <c r="AF8" s="23" t="e">
        <f aca="false">AF7/AF5</f>
        <v>#DIV/0!</v>
      </c>
    </row>
    <row r="9" customFormat="false" ht="15.75" hidden="false" customHeight="false" outlineLevel="0" collapsed="false">
      <c r="A9" s="4"/>
      <c r="B9" s="4"/>
      <c r="C9" s="20" t="s">
        <v>9</v>
      </c>
      <c r="D9" s="24"/>
      <c r="E9" s="24" t="n">
        <f aca="false">(E8-D8)/D8</f>
        <v>0.1218769698426</v>
      </c>
      <c r="F9" s="24" t="n">
        <f aca="false">(F8-E8)/E8</f>
        <v>0.0317770864658319</v>
      </c>
      <c r="G9" s="24" t="n">
        <f aca="false">(G8-F8)/F8</f>
        <v>0.0654727908143122</v>
      </c>
      <c r="H9" s="24" t="n">
        <f aca="false">(H8-G8)/G8</f>
        <v>0.0197116731407829</v>
      </c>
      <c r="I9" s="24" t="n">
        <f aca="false">(I8-H8)/H8</f>
        <v>0.12322024896241</v>
      </c>
      <c r="J9" s="24" t="n">
        <f aca="false">(J8-I8)/I8</f>
        <v>0.078167971210384</v>
      </c>
      <c r="K9" s="24" t="n">
        <f aca="false">(K8-J8)/J8</f>
        <v>-0.0233750043262721</v>
      </c>
      <c r="L9" s="24" t="n">
        <f aca="false">(L8-K8)/K8</f>
        <v>0.175236692439539</v>
      </c>
      <c r="M9" s="24" t="n">
        <f aca="false">(M8-L8)/L8</f>
        <v>0.0357436368207733</v>
      </c>
      <c r="N9" s="24" t="n">
        <f aca="false">(N8-M8)/M8</f>
        <v>0.104323381057363</v>
      </c>
      <c r="O9" s="24" t="n">
        <f aca="false">(O8-N8)/N8</f>
        <v>0.0926564506855774</v>
      </c>
      <c r="P9" s="24" t="n">
        <f aca="false">(P8-O8)/O8</f>
        <v>0.148752223602819</v>
      </c>
      <c r="Q9" s="24" t="n">
        <f aca="false">(Q8-P8)/P8</f>
        <v>0.0404489794795157</v>
      </c>
      <c r="R9" s="24" t="n">
        <f aca="false">(R8-Q8)/Q8</f>
        <v>0.0404440546666174</v>
      </c>
      <c r="S9" s="24" t="n">
        <f aca="false">(S8-R8)/R8</f>
        <v>-0.0125692054557389</v>
      </c>
      <c r="T9" s="24" t="n">
        <f aca="false">(T8-S8)/S8</f>
        <v>0.0120091011870554</v>
      </c>
      <c r="U9" s="24" t="n">
        <f aca="false">(U8-T8)/T8</f>
        <v>-0.0367463432046868</v>
      </c>
      <c r="V9" s="24" t="n">
        <f aca="false">(V8-U8)/U8</f>
        <v>0.0923748309591946</v>
      </c>
      <c r="W9" s="24" t="n">
        <f aca="false">(W8-V8)/V8</f>
        <v>0.0476944258774038</v>
      </c>
      <c r="X9" s="24" t="n">
        <f aca="false">(X8-W8)/W8</f>
        <v>0.0530807817517873</v>
      </c>
      <c r="Y9" s="24" t="n">
        <f aca="false">(Y8-X8)/X8</f>
        <v>0.00608217669355414</v>
      </c>
      <c r="Z9" s="24" t="n">
        <f aca="false">(Z8-Y8)/Y8</f>
        <v>0.0742757099426682</v>
      </c>
      <c r="AA9" s="24" t="n">
        <f aca="false">(AA8-Z8)/Z8</f>
        <v>0.139660401364893</v>
      </c>
      <c r="AB9" s="24" t="n">
        <f aca="false">(AB8-AA8)/AA8</f>
        <v>0.0506857732733562</v>
      </c>
      <c r="AC9" s="24" t="n">
        <f aca="false">(AC8-AB8)/AB8</f>
        <v>0.104406479215759</v>
      </c>
      <c r="AD9" s="24" t="n">
        <f aca="false">(AD8-AC8)/AC8</f>
        <v>0.652816685642436</v>
      </c>
      <c r="AE9" s="24" t="n">
        <f aca="false">(AE8-AD8)/AD8</f>
        <v>0.0106059814132681</v>
      </c>
      <c r="AF9" s="24" t="e">
        <f aca="false">(AF8-AE8)/AE8</f>
        <v>#DIV/0!</v>
      </c>
    </row>
    <row r="10" customFormat="false" ht="15.75" hidden="false" customHeight="false" outlineLevel="0" collapsed="false">
      <c r="A10" s="4"/>
      <c r="B10" s="4"/>
      <c r="C10" s="20" t="s">
        <v>10</v>
      </c>
      <c r="D10" s="24" t="n">
        <v>0</v>
      </c>
      <c r="E10" s="24" t="n">
        <f aca="false">(E7-D7)/D7</f>
        <v>0.0470851718530937</v>
      </c>
      <c r="F10" s="24" t="n">
        <f aca="false">(F7-E7)/E7</f>
        <v>0.031777086465832</v>
      </c>
      <c r="G10" s="24" t="n">
        <f aca="false">(G7-F7)/F7</f>
        <v>0.0654727908143122</v>
      </c>
      <c r="H10" s="24" t="n">
        <f aca="false">(H7-G7)/G7</f>
        <v>0.0925482212222674</v>
      </c>
      <c r="I10" s="24" t="n">
        <f aca="false">(I7-H7)/H7</f>
        <v>0.0483388990315824</v>
      </c>
      <c r="J10" s="24" t="n">
        <f aca="false">(J7-I7)/I7</f>
        <v>0.078167971210384</v>
      </c>
      <c r="K10" s="24" t="n">
        <f aca="false">(K7-J7)/J7</f>
        <v>-0.0931339325886814</v>
      </c>
      <c r="L10" s="24" t="n">
        <f aca="false">(L7-K7)/K7</f>
        <v>0.175236692439539</v>
      </c>
      <c r="M10" s="24" t="n">
        <f aca="false">(M7-L7)/L7</f>
        <v>0.115416224268525</v>
      </c>
      <c r="N10" s="24" t="n">
        <f aca="false">(N7-M7)/M7</f>
        <v>0.104323381057363</v>
      </c>
      <c r="O10" s="24" t="n">
        <f aca="false">(O7-N7)/N7</f>
        <v>0.0926564506855774</v>
      </c>
      <c r="P10" s="24" t="n">
        <f aca="false">(P7-O7)/O7</f>
        <v>0.0666984933454748</v>
      </c>
      <c r="Q10" s="24" t="n">
        <f aca="false">(Q7-P7)/P7</f>
        <v>0.0404489794795156</v>
      </c>
      <c r="R10" s="24" t="n">
        <f aca="false">(R7-Q7)/Q7</f>
        <v>0.0404440546666175</v>
      </c>
      <c r="S10" s="24" t="n">
        <f aca="false">(S7-R7)/R7</f>
        <v>-0.012569205455739</v>
      </c>
      <c r="T10" s="24" t="n">
        <f aca="false">(T7-S7)/S7</f>
        <v>0.0120091011870554</v>
      </c>
      <c r="U10" s="24" t="n">
        <f aca="false">(U7-T7)/T7</f>
        <v>-0.110842778342788</v>
      </c>
      <c r="V10" s="24" t="n">
        <f aca="false">(V7-U7)/U7</f>
        <v>0.0923748309591946</v>
      </c>
      <c r="W10" s="24" t="n">
        <f aca="false">(W7-V7)/V7</f>
        <v>0.0476944258774038</v>
      </c>
      <c r="X10" s="24" t="n">
        <f aca="false">(X7-W7)/W7</f>
        <v>0.0530807817517874</v>
      </c>
      <c r="Y10" s="24" t="n">
        <f aca="false">(Y7-X7)/X7</f>
        <v>0.00608217669355412</v>
      </c>
      <c r="Z10" s="24" t="n">
        <f aca="false">(Z7-Y7)/Y7</f>
        <v>0.0742757099426682</v>
      </c>
      <c r="AA10" s="24" t="n">
        <f aca="false">(AA7-Z7)/Z7</f>
        <v>0.139660401364893</v>
      </c>
      <c r="AB10" s="24" t="n">
        <f aca="false">(AB7-AA7)/AA7</f>
        <v>0.0506857732733563</v>
      </c>
      <c r="AC10" s="24" t="n">
        <f aca="false">(AC7-AB7)/AB7</f>
        <v>0.104406479215759</v>
      </c>
      <c r="AD10" s="24" t="n">
        <f aca="false">(AD7-AC7)/AC7</f>
        <v>0.5150819618389</v>
      </c>
      <c r="AE10" s="24" t="n">
        <f aca="false">(AE7-AD7)/AD7</f>
        <v>0.0106059814132682</v>
      </c>
      <c r="AF10" s="24" t="n">
        <f aca="false">(AF7-AE7)/AE7</f>
        <v>-1</v>
      </c>
    </row>
    <row r="11" customFormat="false" ht="15.75" hidden="false" customHeight="false" outlineLevel="0" collapsed="false">
      <c r="A11" s="4"/>
      <c r="B11" s="4"/>
      <c r="C11" s="20" t="s">
        <v>11</v>
      </c>
      <c r="D11" s="21"/>
      <c r="E11" s="24" t="n">
        <f aca="false">E10/((E2-D2)/30)</f>
        <v>0.013714127724202</v>
      </c>
      <c r="F11" s="24" t="n">
        <f aca="false">F10/((F2-E2)/30)</f>
        <v>0.013059076629794</v>
      </c>
      <c r="G11" s="24" t="n">
        <f aca="false">G10/((G2-F2)/30)</f>
        <v>0.0220694800497681</v>
      </c>
      <c r="H11" s="24" t="n">
        <f aca="false">H10/((H2-G2)/30)</f>
        <v>0.0305104026007475</v>
      </c>
      <c r="I11" s="24" t="n">
        <f aca="false">I10/((I2-H2)/30)</f>
        <v>0.0170607878934997</v>
      </c>
      <c r="J11" s="24" t="n">
        <f aca="false">J10/((J2-I2)/30)</f>
        <v>0.024427491003245</v>
      </c>
      <c r="K11" s="24" t="n">
        <f aca="false">K10/((K2-J2)/30)</f>
        <v>-0.0288043090480458</v>
      </c>
      <c r="L11" s="24" t="n">
        <f aca="false">L10/((L2-K2)/30)</f>
        <v>0.0571423997085453</v>
      </c>
      <c r="M11" s="24" t="n">
        <f aca="false">M10/((M2-L2)/30)</f>
        <v>0.0346248672805576</v>
      </c>
      <c r="N11" s="24" t="n">
        <f aca="false">N10/((N2-M2)/30)</f>
        <v>0.0411802819963276</v>
      </c>
      <c r="O11" s="24" t="n">
        <f aca="false">O10/((O2-N2)/30)</f>
        <v>0.030546082643597</v>
      </c>
      <c r="P11" s="24" t="n">
        <f aca="false">P10/((P2-O2)/30)</f>
        <v>0.021988514289717</v>
      </c>
      <c r="Q11" s="24" t="n">
        <f aca="false">Q10/((Q2-P2)/30)</f>
        <v>0.0122572665089441</v>
      </c>
      <c r="R11" s="24" t="n">
        <f aca="false">R10/((R2-Q2)/30)</f>
        <v>0.0131882786956361</v>
      </c>
      <c r="S11" s="24" t="n">
        <f aca="false">S10/((S2-R2)/30)</f>
        <v>-0.00454308630930327</v>
      </c>
      <c r="T11" s="24" t="n">
        <f aca="false">T10/((T2-S2)/30)</f>
        <v>0.00277133104316663</v>
      </c>
      <c r="U11" s="24" t="n">
        <f aca="false">U10/((U2-T2)/30)</f>
        <v>-0.0503830810649035</v>
      </c>
      <c r="V11" s="24" t="n">
        <f aca="false">V10/((V2-U2)/30)</f>
        <v>0.0342129003552573</v>
      </c>
      <c r="W11" s="24" t="n">
        <f aca="false">W10/((W2-V2)/30)</f>
        <v>0.0150613976454959</v>
      </c>
      <c r="X11" s="24" t="n">
        <f aca="false">X10/((X2-W2)/30)</f>
        <v>0.0107596179226596</v>
      </c>
      <c r="Y11" s="24" t="n">
        <f aca="false">Y10/((Y2-X2)/30)</f>
        <v>0.000821915769399206</v>
      </c>
      <c r="Z11" s="24" t="n">
        <f aca="false">Z10/((Z2-Y2)/30)</f>
        <v>0.0174083695178129</v>
      </c>
      <c r="AA11" s="24" t="n">
        <f aca="false">AA10/((AA2-Z2)/30)</f>
        <v>0.0335184963275743</v>
      </c>
      <c r="AB11" s="24" t="n">
        <f aca="false">AB10/((AB2-AA2)/30)</f>
        <v>0.0168952577577854</v>
      </c>
      <c r="AC11" s="24" t="n">
        <f aca="false">AC10/((AC2-AB2)/30)</f>
        <v>0.0239098807364333</v>
      </c>
      <c r="AD11" s="24" t="n">
        <f aca="false">AD10/((AD2-AC2)/30)</f>
        <v>0.188444620184963</v>
      </c>
      <c r="AE11" s="24" t="n">
        <f aca="false">AE10/((AE2-AD2)/30)</f>
        <v>0.00467910944703007</v>
      </c>
      <c r="AF11" s="24" t="e">
        <f aca="false">AF10/((AF2-AE2)/30)</f>
        <v>#VALUE!</v>
      </c>
    </row>
    <row r="12" customFormat="false" ht="15.75" hidden="false" customHeight="false" outlineLevel="0" collapsed="false">
      <c r="A12" s="4"/>
      <c r="B12" s="4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5"/>
      <c r="AE12" s="13"/>
      <c r="AF12" s="13"/>
    </row>
    <row r="13" customFormat="false" ht="15.75" hidden="false" customHeight="false" outlineLevel="0" collapsed="false">
      <c r="A13" s="4"/>
      <c r="B13" s="11" t="s">
        <v>12</v>
      </c>
      <c r="C13" s="12" t="s">
        <v>13</v>
      </c>
      <c r="D13" s="13" t="n">
        <v>7769.12</v>
      </c>
      <c r="E13" s="13" t="n">
        <v>15214</v>
      </c>
      <c r="F13" s="13" t="n">
        <v>4306.23</v>
      </c>
      <c r="G13" s="13" t="n">
        <v>16117</v>
      </c>
      <c r="H13" s="13" t="n">
        <v>6197.6</v>
      </c>
      <c r="I13" s="13" t="n">
        <v>11403.83</v>
      </c>
      <c r="J13" s="13" t="n">
        <v>15718.04</v>
      </c>
      <c r="K13" s="13" t="n">
        <v>9158.33</v>
      </c>
      <c r="L13" s="13" t="n">
        <v>25303</v>
      </c>
      <c r="M13" s="13" t="n">
        <v>21000</v>
      </c>
      <c r="N13" s="13" t="n">
        <v>29418.34</v>
      </c>
      <c r="O13" s="13" t="n">
        <v>19076</v>
      </c>
      <c r="P13" s="13" t="n">
        <v>32082</v>
      </c>
      <c r="Q13" s="13" t="n">
        <v>29452</v>
      </c>
      <c r="R13" s="13" t="n">
        <v>30877</v>
      </c>
      <c r="S13" s="13" t="n">
        <v>10717</v>
      </c>
      <c r="T13" s="13" t="n">
        <v>13969</v>
      </c>
      <c r="U13" s="13" t="n">
        <v>20101</v>
      </c>
      <c r="V13" s="13" t="n">
        <v>31448.72</v>
      </c>
      <c r="W13" s="13" t="n">
        <v>48873.16</v>
      </c>
      <c r="X13" s="13" t="n">
        <v>21874</v>
      </c>
      <c r="Y13" s="13" t="n">
        <v>20000</v>
      </c>
      <c r="Z13" s="13" t="n">
        <v>23649</v>
      </c>
      <c r="AA13" s="13" t="n">
        <v>13789</v>
      </c>
      <c r="AB13" s="13" t="n">
        <v>18954</v>
      </c>
      <c r="AC13" s="16" t="n">
        <v>13269</v>
      </c>
      <c r="AD13" s="16" t="n">
        <v>137393</v>
      </c>
      <c r="AE13" s="13" t="n">
        <v>143196.37</v>
      </c>
      <c r="AF13" s="13" t="n">
        <v>0</v>
      </c>
    </row>
    <row r="14" customFormat="false" ht="15.75" hidden="false" customHeight="false" outlineLevel="0" collapsed="false">
      <c r="A14" s="4"/>
      <c r="B14" s="4"/>
      <c r="C14" s="12" t="s">
        <v>14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 t="n">
        <v>6400</v>
      </c>
      <c r="Q14" s="13" t="n">
        <v>5279</v>
      </c>
      <c r="R14" s="13" t="n">
        <v>11768</v>
      </c>
      <c r="S14" s="13" t="n">
        <v>19150</v>
      </c>
      <c r="T14" s="13" t="n">
        <v>35124</v>
      </c>
      <c r="U14" s="13" t="n">
        <v>36500</v>
      </c>
      <c r="V14" s="13" t="n">
        <v>46000</v>
      </c>
      <c r="W14" s="13" t="n">
        <v>9679.39</v>
      </c>
      <c r="X14" s="13" t="n">
        <v>8500</v>
      </c>
      <c r="Y14" s="13" t="n">
        <v>8900</v>
      </c>
      <c r="Z14" s="13" t="n">
        <v>14027</v>
      </c>
      <c r="AA14" s="13" t="n">
        <v>12000</v>
      </c>
      <c r="AB14" s="13" t="n">
        <v>12500</v>
      </c>
      <c r="AC14" s="16" t="n">
        <v>13753</v>
      </c>
      <c r="AD14" s="16" t="n">
        <v>12319.27</v>
      </c>
      <c r="AE14" s="25" t="n">
        <v>12300</v>
      </c>
      <c r="AF14" s="13" t="n">
        <v>0</v>
      </c>
    </row>
    <row r="15" customFormat="false" ht="15.75" hidden="false" customHeight="false" outlineLevel="0" collapsed="false">
      <c r="A15" s="4"/>
      <c r="B15" s="4"/>
      <c r="C15" s="12" t="s">
        <v>15</v>
      </c>
      <c r="D15" s="13" t="n">
        <v>826.24</v>
      </c>
      <c r="E15" s="13" t="n">
        <v>926</v>
      </c>
      <c r="F15" s="13" t="n">
        <v>976.29</v>
      </c>
      <c r="G15" s="13" t="n">
        <v>1051</v>
      </c>
      <c r="H15" s="13" t="n">
        <v>1126.36</v>
      </c>
      <c r="I15" s="13" t="n">
        <v>1201.38</v>
      </c>
      <c r="J15" s="13" t="n">
        <v>1276.41</v>
      </c>
      <c r="K15" s="13" t="n">
        <v>1351.45</v>
      </c>
      <c r="L15" s="13" t="n">
        <v>1426</v>
      </c>
      <c r="M15" s="13" t="n">
        <v>1500</v>
      </c>
      <c r="N15" s="13" t="n">
        <v>1576.53</v>
      </c>
      <c r="O15" s="13" t="n">
        <v>1651</v>
      </c>
      <c r="P15" s="13" t="n">
        <v>1726</v>
      </c>
      <c r="Q15" s="13" t="n">
        <v>1801</v>
      </c>
      <c r="R15" s="13" t="n">
        <v>1876</v>
      </c>
      <c r="S15" s="13" t="n">
        <v>1951.73</v>
      </c>
      <c r="T15" s="13" t="n">
        <v>51</v>
      </c>
      <c r="U15" s="13" t="n">
        <v>101</v>
      </c>
      <c r="V15" s="13" t="n">
        <v>176</v>
      </c>
      <c r="W15" s="13" t="n">
        <v>251.78</v>
      </c>
      <c r="X15" s="13" t="n">
        <v>76</v>
      </c>
      <c r="Y15" s="13" t="n">
        <v>251.78</v>
      </c>
      <c r="Z15" s="13" t="n">
        <v>376</v>
      </c>
      <c r="AA15" s="13" t="n">
        <v>476</v>
      </c>
      <c r="AB15" s="13" t="n">
        <v>551</v>
      </c>
      <c r="AC15" s="16" t="n">
        <v>651</v>
      </c>
      <c r="AD15" s="16" t="n">
        <v>762</v>
      </c>
      <c r="AE15" s="13" t="n">
        <v>776</v>
      </c>
      <c r="AF15" s="13" t="n">
        <v>0</v>
      </c>
    </row>
    <row r="16" customFormat="false" ht="15.75" hidden="false" customHeight="false" outlineLevel="0" collapsed="false">
      <c r="A16" s="4"/>
      <c r="B16" s="4"/>
      <c r="C16" s="12" t="s">
        <v>16</v>
      </c>
      <c r="D16" s="13" t="n">
        <v>32026.56</v>
      </c>
      <c r="E16" s="13" t="n">
        <v>29029</v>
      </c>
      <c r="F16" s="13" t="n">
        <v>29031.03</v>
      </c>
      <c r="G16" s="13" t="n">
        <v>24032</v>
      </c>
      <c r="H16" s="13" t="n">
        <v>19034.66</v>
      </c>
      <c r="I16" s="13" t="n">
        <v>19036.11</v>
      </c>
      <c r="J16" s="13" t="n">
        <v>11037.14</v>
      </c>
      <c r="K16" s="13" t="n">
        <v>11037.96</v>
      </c>
      <c r="L16" s="13" t="n">
        <v>11038</v>
      </c>
      <c r="M16" s="13" t="n">
        <v>11039</v>
      </c>
      <c r="N16" s="13" t="n">
        <v>11039</v>
      </c>
      <c r="O16" s="13" t="n">
        <v>11040</v>
      </c>
      <c r="P16" s="13" t="n">
        <v>11040</v>
      </c>
      <c r="Q16" s="13" t="n">
        <v>11041</v>
      </c>
      <c r="R16" s="13" t="n">
        <v>11041</v>
      </c>
      <c r="S16" s="13" t="n">
        <v>11042</v>
      </c>
      <c r="T16" s="13" t="n">
        <v>11043</v>
      </c>
      <c r="U16" s="13" t="n">
        <v>11043</v>
      </c>
      <c r="V16" s="13" t="n">
        <v>11043</v>
      </c>
      <c r="W16" s="13" t="n">
        <v>44.1</v>
      </c>
      <c r="X16" s="13" t="n">
        <v>519</v>
      </c>
      <c r="Y16" s="13" t="n">
        <v>519.11</v>
      </c>
      <c r="Z16" s="13" t="n">
        <v>519</v>
      </c>
      <c r="AA16" s="13" t="n">
        <v>519</v>
      </c>
      <c r="AB16" s="13" t="n">
        <v>519</v>
      </c>
      <c r="AC16" s="16" t="n">
        <v>519</v>
      </c>
      <c r="AD16" s="16" t="n">
        <v>519</v>
      </c>
      <c r="AE16" s="13" t="n">
        <v>519</v>
      </c>
      <c r="AF16" s="13" t="n">
        <v>0</v>
      </c>
    </row>
    <row r="17" customFormat="false" ht="15.75" hidden="false" customHeight="false" outlineLevel="0" collapsed="false">
      <c r="A17" s="4"/>
      <c r="B17" s="4"/>
      <c r="C17" s="12" t="s">
        <v>17</v>
      </c>
      <c r="D17" s="13" t="n">
        <v>528.15</v>
      </c>
      <c r="E17" s="13" t="n">
        <v>928</v>
      </c>
      <c r="F17" s="13" t="n">
        <v>1000</v>
      </c>
      <c r="G17" s="13" t="n">
        <v>1428</v>
      </c>
      <c r="H17" s="13" t="n">
        <v>1728.15</v>
      </c>
      <c r="I17" s="13" t="n">
        <v>2028.15</v>
      </c>
      <c r="J17" s="13" t="n">
        <v>4328.15</v>
      </c>
      <c r="K17" s="13" t="n">
        <v>4628.15</v>
      </c>
      <c r="L17" s="13" t="n">
        <v>3928</v>
      </c>
      <c r="M17" s="13" t="n">
        <v>4228</v>
      </c>
      <c r="N17" s="13" t="n">
        <v>4528</v>
      </c>
      <c r="O17" s="13" t="n">
        <v>4828.15</v>
      </c>
      <c r="P17" s="13" t="n">
        <v>5128</v>
      </c>
      <c r="Q17" s="13" t="n">
        <v>5428</v>
      </c>
      <c r="R17" s="13" t="n">
        <v>5728</v>
      </c>
      <c r="S17" s="13" t="n">
        <v>6028</v>
      </c>
      <c r="T17" s="13" t="n">
        <v>6428</v>
      </c>
      <c r="U17" s="13" t="n">
        <v>6628</v>
      </c>
      <c r="V17" s="13" t="n">
        <v>6915</v>
      </c>
      <c r="W17" s="13" t="n">
        <v>2223</v>
      </c>
      <c r="X17" s="13" t="n">
        <v>718</v>
      </c>
      <c r="Y17" s="13" t="n">
        <v>1418</v>
      </c>
      <c r="Z17" s="13" t="n">
        <v>0</v>
      </c>
      <c r="AA17" s="25" t="n">
        <v>0</v>
      </c>
      <c r="AB17" s="13" t="n">
        <v>2618</v>
      </c>
      <c r="AC17" s="16" t="n">
        <v>3018</v>
      </c>
      <c r="AD17" s="16" t="n">
        <v>3318</v>
      </c>
      <c r="AE17" s="13" t="n">
        <v>3518</v>
      </c>
      <c r="AF17" s="13" t="n">
        <v>0</v>
      </c>
    </row>
    <row r="18" customFormat="false" ht="15.75" hidden="false" customHeight="false" outlineLevel="0" collapsed="false">
      <c r="A18" s="4"/>
      <c r="B18" s="4"/>
      <c r="C18" s="20" t="s">
        <v>18</v>
      </c>
      <c r="D18" s="21" t="n">
        <f aca="false">SUM(D13:D17)</f>
        <v>41150.07</v>
      </c>
      <c r="E18" s="21" t="n">
        <f aca="false">SUM(E13:E17)</f>
        <v>46097</v>
      </c>
      <c r="F18" s="21" t="n">
        <f aca="false">SUM(F13:F17)</f>
        <v>35313.55</v>
      </c>
      <c r="G18" s="21" t="n">
        <f aca="false">SUM(G13:G17)</f>
        <v>42628</v>
      </c>
      <c r="H18" s="21" t="n">
        <f aca="false">SUM(H13:H17)</f>
        <v>28086.77</v>
      </c>
      <c r="I18" s="21" t="n">
        <f aca="false">SUM(I13:I17)</f>
        <v>33669.47</v>
      </c>
      <c r="J18" s="21" t="n">
        <f aca="false">SUM(J13:J17)</f>
        <v>32359.74</v>
      </c>
      <c r="K18" s="21" t="n">
        <f aca="false">SUM(K13:K17)</f>
        <v>26175.89</v>
      </c>
      <c r="L18" s="21" t="n">
        <f aca="false">SUM(L13:L17)</f>
        <v>41695</v>
      </c>
      <c r="M18" s="21" t="n">
        <f aca="false">SUM(M13:M17)</f>
        <v>37767</v>
      </c>
      <c r="N18" s="21" t="n">
        <f aca="false">SUM(N13:N17)</f>
        <v>46561.87</v>
      </c>
      <c r="O18" s="21" t="n">
        <f aca="false">SUM(O13:O17)</f>
        <v>36595.15</v>
      </c>
      <c r="P18" s="21" t="n">
        <f aca="false">SUM(P13:P17)</f>
        <v>56376</v>
      </c>
      <c r="Q18" s="21" t="n">
        <f aca="false">SUM(Q13:Q17)</f>
        <v>53001</v>
      </c>
      <c r="R18" s="21" t="n">
        <f aca="false">SUM(R13:R17)</f>
        <v>61290</v>
      </c>
      <c r="S18" s="21" t="n">
        <f aca="false">SUM(S13:S17)</f>
        <v>48888.73</v>
      </c>
      <c r="T18" s="21" t="n">
        <f aca="false">SUM(T13:T17)</f>
        <v>66615</v>
      </c>
      <c r="U18" s="21" t="n">
        <f aca="false">SUM(U13:U17)</f>
        <v>74373</v>
      </c>
      <c r="V18" s="21" t="n">
        <f aca="false">SUM(V13:V17)</f>
        <v>95582.72</v>
      </c>
      <c r="W18" s="21" t="n">
        <f aca="false">SUM(W13:W17)</f>
        <v>61071.43</v>
      </c>
      <c r="X18" s="21" t="n">
        <f aca="false">SUM(X13:X17)</f>
        <v>31687</v>
      </c>
      <c r="Y18" s="21" t="n">
        <f aca="false">SUM(Y13:Y17)</f>
        <v>31088.89</v>
      </c>
      <c r="Z18" s="21" t="n">
        <f aca="false">SUM(Z13:Z17)</f>
        <v>38571</v>
      </c>
      <c r="AA18" s="21" t="n">
        <f aca="false">SUM(AA13:AA17)</f>
        <v>26784</v>
      </c>
      <c r="AB18" s="21" t="n">
        <f aca="false">SUM(AB13:AB17)</f>
        <v>35142</v>
      </c>
      <c r="AC18" s="26" t="n">
        <f aca="false">SUM(AC13:AC17)</f>
        <v>31210</v>
      </c>
      <c r="AD18" s="26" t="n">
        <f aca="false">SUM(AD13:AD17)</f>
        <v>154311.27</v>
      </c>
      <c r="AE18" s="21" t="n">
        <f aca="false">SUM(AE13:AE17)</f>
        <v>160309.37</v>
      </c>
      <c r="AF18" s="21" t="n">
        <f aca="false">SUM(AF13:AF17)</f>
        <v>0</v>
      </c>
    </row>
    <row r="19" customFormat="false" ht="15.75" hidden="false" customHeight="false" outlineLevel="0" collapsed="false">
      <c r="A19" s="4"/>
      <c r="B19" s="4"/>
      <c r="C19" s="20" t="s">
        <v>19</v>
      </c>
      <c r="D19" s="27" t="n">
        <f aca="false">D18/D5</f>
        <v>2743338</v>
      </c>
      <c r="E19" s="27" t="n">
        <f aca="false">E18/E5</f>
        <v>3292642.85714286</v>
      </c>
      <c r="F19" s="27" t="n">
        <f aca="false">F18/F5</f>
        <v>2522396.42857143</v>
      </c>
      <c r="G19" s="27" t="n">
        <f aca="false">G18/G5</f>
        <v>3044857.14285714</v>
      </c>
      <c r="H19" s="27" t="n">
        <f aca="false">H18/H5</f>
        <v>1872451.33333333</v>
      </c>
      <c r="I19" s="27" t="n">
        <f aca="false">I18/I5</f>
        <v>2404962.14285714</v>
      </c>
      <c r="J19" s="27" t="n">
        <f aca="false">J18/J5</f>
        <v>2311410</v>
      </c>
      <c r="K19" s="27" t="n">
        <f aca="false">K18/K5</f>
        <v>2013530</v>
      </c>
      <c r="L19" s="27" t="n">
        <f aca="false">L18/L5</f>
        <v>3207307.69230769</v>
      </c>
      <c r="M19" s="27" t="n">
        <f aca="false">M18/M5</f>
        <v>2697642.85714286</v>
      </c>
      <c r="N19" s="27" t="n">
        <f aca="false">N18/N5</f>
        <v>3325847.85714286</v>
      </c>
      <c r="O19" s="27" t="n">
        <f aca="false">O18/O5</f>
        <v>2613939.28571429</v>
      </c>
      <c r="P19" s="27" t="n">
        <f aca="false">P18/P5</f>
        <v>4336615.38461539</v>
      </c>
      <c r="Q19" s="27" t="n">
        <f aca="false">Q18/Q5</f>
        <v>4077000</v>
      </c>
      <c r="R19" s="27" t="n">
        <f aca="false">R18/R5</f>
        <v>4714615.38461539</v>
      </c>
      <c r="S19" s="27" t="n">
        <f aca="false">S18/S5</f>
        <v>3760671.53846154</v>
      </c>
      <c r="T19" s="27" t="n">
        <f aca="false">T18/T5</f>
        <v>5124230.76923077</v>
      </c>
      <c r="U19" s="27" t="n">
        <f aca="false">U18/U5</f>
        <v>6197750</v>
      </c>
      <c r="V19" s="27" t="n">
        <f aca="false">V18/V5</f>
        <v>7965226.66666667</v>
      </c>
      <c r="W19" s="27" t="n">
        <f aca="false">W18/W5</f>
        <v>5089285.83333333</v>
      </c>
      <c r="X19" s="21" t="n">
        <f aca="false">X18/X5</f>
        <v>2640583.33333333</v>
      </c>
      <c r="Y19" s="21" t="n">
        <f aca="false">Y18/Y5</f>
        <v>2590740.83333333</v>
      </c>
      <c r="Z19" s="21" t="n">
        <f aca="false">Z18/Z5</f>
        <v>3214250</v>
      </c>
      <c r="AA19" s="21" t="n">
        <f aca="false">AA18/AA5</f>
        <v>2232000</v>
      </c>
      <c r="AB19" s="21" t="n">
        <f aca="false">AB18/AB5</f>
        <v>2928500</v>
      </c>
      <c r="AC19" s="26" t="n">
        <f aca="false">AC18/AC5</f>
        <v>2600833.33333333</v>
      </c>
      <c r="AD19" s="28" t="n">
        <f aca="false">AD18/AD5</f>
        <v>14028297.2727273</v>
      </c>
      <c r="AE19" s="21" t="n">
        <f aca="false">AE18/AE5</f>
        <v>14573579.0909091</v>
      </c>
      <c r="AF19" s="21" t="e">
        <f aca="false">AF18/AF5</f>
        <v>#DIV/0!</v>
      </c>
    </row>
    <row r="20" customFormat="false" ht="15.75" hidden="false" customHeight="false" outlineLevel="0" collapsed="false">
      <c r="A20" s="4"/>
      <c r="B20" s="4"/>
      <c r="C20" s="20" t="s">
        <v>20</v>
      </c>
      <c r="D20" s="21"/>
      <c r="E20" s="24" t="n">
        <f aca="false">(E18-D18)/D18</f>
        <v>0.120216806435566</v>
      </c>
      <c r="F20" s="24" t="n">
        <f aca="false">(F18-E18)/E18</f>
        <v>-0.23392953988329</v>
      </c>
      <c r="G20" s="24" t="n">
        <f aca="false">(G18-F18)/F18</f>
        <v>0.207128708385308</v>
      </c>
      <c r="H20" s="24" t="n">
        <f aca="false">(H18-G18)/G18</f>
        <v>-0.341119217415783</v>
      </c>
      <c r="I20" s="24" t="n">
        <f aca="false">(I18-H18)/H18</f>
        <v>0.198766180660859</v>
      </c>
      <c r="J20" s="24" t="n">
        <f aca="false">(J18-I18)/I18</f>
        <v>-0.038899632218743</v>
      </c>
      <c r="K20" s="24" t="n">
        <f aca="false">(K18-J18)/J18</f>
        <v>-0.191097023647285</v>
      </c>
      <c r="L20" s="24" t="n">
        <f aca="false">(L18-K18)/K18</f>
        <v>0.592878026305887</v>
      </c>
      <c r="M20" s="24" t="n">
        <f aca="false">(M18-L18)/L18</f>
        <v>-0.0942079386017508</v>
      </c>
      <c r="N20" s="24" t="n">
        <f aca="false">(N18-M18)/M18</f>
        <v>0.232871819313157</v>
      </c>
      <c r="O20" s="24" t="n">
        <f aca="false">(O18-N18)/N18</f>
        <v>-0.214053258599794</v>
      </c>
      <c r="P20" s="24" t="n">
        <f aca="false">(P18-O18)/O18</f>
        <v>0.540532010389355</v>
      </c>
      <c r="Q20" s="24" t="n">
        <f aca="false">(Q18-P18)/P18</f>
        <v>-0.0598659003831418</v>
      </c>
      <c r="R20" s="24" t="n">
        <f aca="false">(R18-Q18)/Q18</f>
        <v>0.156393275598574</v>
      </c>
      <c r="S20" s="24" t="n">
        <f aca="false">(S18-R18)/R18</f>
        <v>-0.202337575460923</v>
      </c>
      <c r="T20" s="24" t="n">
        <f aca="false">(T18-S18)/S18</f>
        <v>0.36258397385246</v>
      </c>
      <c r="U20" s="24" t="n">
        <f aca="false">(U18-T18)/T18</f>
        <v>0.116460256698942</v>
      </c>
      <c r="V20" s="24" t="n">
        <f aca="false">(V18-U18)/U18</f>
        <v>0.285180374598309</v>
      </c>
      <c r="W20" s="24" t="n">
        <f aca="false">(W18-V18)/V18</f>
        <v>-0.361062020415406</v>
      </c>
      <c r="X20" s="24" t="n">
        <f aca="false">(X18-W18)/W18</f>
        <v>-0.481148550148572</v>
      </c>
      <c r="Y20" s="24" t="n">
        <f aca="false">(Y18-X18)/X18</f>
        <v>-0.0188755641114653</v>
      </c>
      <c r="Z20" s="24" t="n">
        <f aca="false">(Z18-Y18)/Y18</f>
        <v>0.240668290183406</v>
      </c>
      <c r="AA20" s="24" t="n">
        <f aca="false">(AA18-Z18)/Z18</f>
        <v>-0.305592284358715</v>
      </c>
      <c r="AB20" s="24" t="n">
        <f aca="false">(AB18-AA18)/AA18</f>
        <v>0.312051971326165</v>
      </c>
      <c r="AC20" s="29" t="n">
        <f aca="false">(AC18-Z18)/Z18</f>
        <v>-0.190842861216977</v>
      </c>
      <c r="AD20" s="29" t="n">
        <f aca="false">(AD18-Z18)/Z18</f>
        <v>3.00070700785564</v>
      </c>
      <c r="AE20" s="24" t="n">
        <f aca="false">(AE18-Y18)/Y18</f>
        <v>4.15648419740943</v>
      </c>
      <c r="AF20" s="24" t="n">
        <f aca="false">(AF18-Z18)/Z18</f>
        <v>-1</v>
      </c>
    </row>
    <row r="21" customFormat="false" ht="15.75" hidden="false" customHeight="false" outlineLevel="0" collapsed="false">
      <c r="A21" s="4"/>
      <c r="B21" s="4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15"/>
      <c r="AE21" s="13"/>
      <c r="AF21" s="13"/>
    </row>
    <row r="22" customFormat="false" ht="15.75" hidden="false" customHeight="false" outlineLevel="0" collapsed="false">
      <c r="A22" s="4"/>
      <c r="B22" s="4"/>
      <c r="C22" s="12" t="s">
        <v>21</v>
      </c>
      <c r="D22" s="13" t="n">
        <v>10798.7</v>
      </c>
      <c r="E22" s="13" t="n">
        <v>12822.12</v>
      </c>
      <c r="F22" s="13" t="n">
        <v>14764</v>
      </c>
      <c r="G22" s="13" t="n">
        <v>16512</v>
      </c>
      <c r="H22" s="13" t="n">
        <v>17444.93</v>
      </c>
      <c r="I22" s="13" t="n">
        <v>104.91</v>
      </c>
      <c r="J22" s="13" t="n">
        <v>60</v>
      </c>
      <c r="K22" s="13" t="n">
        <v>34</v>
      </c>
      <c r="L22" s="13" t="n">
        <v>2552</v>
      </c>
      <c r="M22" s="13" t="n">
        <v>2796.03</v>
      </c>
      <c r="N22" s="13" t="n">
        <v>4300</v>
      </c>
      <c r="O22" s="13" t="n">
        <v>6708</v>
      </c>
      <c r="P22" s="13" t="n">
        <v>5700</v>
      </c>
      <c r="Q22" s="13" t="n">
        <v>5900</v>
      </c>
      <c r="R22" s="13" t="n">
        <v>5540</v>
      </c>
      <c r="S22" s="13" t="n">
        <v>5735</v>
      </c>
      <c r="T22" s="13" t="n">
        <v>1044</v>
      </c>
      <c r="U22" s="13" t="n">
        <v>1066</v>
      </c>
      <c r="V22" s="13" t="n">
        <v>1203.96</v>
      </c>
      <c r="W22" s="13" t="n">
        <v>1312</v>
      </c>
      <c r="X22" s="13" t="n">
        <v>1145</v>
      </c>
      <c r="Y22" s="13" t="n">
        <v>1258</v>
      </c>
      <c r="Z22" s="13" t="n">
        <v>1350</v>
      </c>
      <c r="AA22" s="13" t="n">
        <v>1178</v>
      </c>
      <c r="AB22" s="13" t="n">
        <v>1357.57</v>
      </c>
      <c r="AC22" s="16" t="n">
        <v>1537</v>
      </c>
      <c r="AD22" s="16" t="n">
        <v>1548</v>
      </c>
      <c r="AE22" s="13" t="n">
        <v>1560</v>
      </c>
      <c r="AF22" s="13" t="n">
        <v>0</v>
      </c>
    </row>
    <row r="23" customFormat="false" ht="15.75" hidden="false" customHeight="false" outlineLevel="0" collapsed="false">
      <c r="A23" s="4"/>
      <c r="B23" s="4"/>
      <c r="C23" s="12" t="s">
        <v>22</v>
      </c>
      <c r="D23" s="13" t="n">
        <v>25880.11</v>
      </c>
      <c r="E23" s="13" t="n">
        <v>32557.87</v>
      </c>
      <c r="F23" s="13" t="n">
        <v>46537.64</v>
      </c>
      <c r="G23" s="13" t="n">
        <v>48417</v>
      </c>
      <c r="H23" s="13" t="n">
        <v>73566.15</v>
      </c>
      <c r="I23" s="13" t="n">
        <v>102590</v>
      </c>
      <c r="J23" s="13" t="n">
        <v>124000</v>
      </c>
      <c r="K23" s="13" t="n">
        <v>101000</v>
      </c>
      <c r="L23" s="13" t="n">
        <v>122000</v>
      </c>
      <c r="M23" s="13" t="n">
        <v>151000</v>
      </c>
      <c r="N23" s="13" t="n">
        <v>180000</v>
      </c>
      <c r="O23" s="13" t="n">
        <v>222000</v>
      </c>
      <c r="P23" s="13" t="n">
        <v>250000</v>
      </c>
      <c r="Q23" s="13" t="n">
        <v>253000</v>
      </c>
      <c r="R23" s="13" t="n">
        <v>246100</v>
      </c>
      <c r="S23" s="13" t="n">
        <v>217800</v>
      </c>
      <c r="T23" s="13" t="n">
        <v>194600</v>
      </c>
      <c r="U23" s="13" t="n">
        <v>179600</v>
      </c>
      <c r="V23" s="13" t="n">
        <v>197400</v>
      </c>
      <c r="W23" s="13" t="n">
        <v>212500</v>
      </c>
      <c r="X23" s="13" t="n">
        <v>206900</v>
      </c>
      <c r="Y23" s="13" t="n">
        <v>225700</v>
      </c>
      <c r="Z23" s="13" t="n">
        <v>225960</v>
      </c>
      <c r="AA23" s="13" t="n">
        <v>252300</v>
      </c>
      <c r="AB23" s="13" t="n">
        <v>269947</v>
      </c>
      <c r="AC23" s="16" t="n">
        <v>286000</v>
      </c>
      <c r="AD23" s="16" t="n">
        <v>434500</v>
      </c>
      <c r="AE23" s="13" t="n">
        <v>442000</v>
      </c>
      <c r="AF23" s="13" t="n">
        <v>0</v>
      </c>
    </row>
    <row r="24" customFormat="false" ht="15.75" hidden="false" customHeight="false" outlineLevel="0" collapsed="false">
      <c r="A24" s="4"/>
      <c r="B24" s="4"/>
      <c r="C24" s="12" t="s">
        <v>23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 t="n">
        <v>10000</v>
      </c>
      <c r="S24" s="13" t="n">
        <v>20630</v>
      </c>
      <c r="T24" s="13" t="n">
        <v>24989</v>
      </c>
      <c r="U24" s="13" t="n">
        <v>20480</v>
      </c>
      <c r="V24" s="13" t="n">
        <v>20573</v>
      </c>
      <c r="W24" s="13" t="n">
        <v>34823</v>
      </c>
      <c r="X24" s="13" t="n">
        <v>39555</v>
      </c>
      <c r="Y24" s="13" t="n">
        <v>41164</v>
      </c>
      <c r="Z24" s="13" t="n">
        <v>47463</v>
      </c>
      <c r="AA24" s="13" t="n">
        <v>71800</v>
      </c>
      <c r="AB24" s="13" t="n">
        <v>73604</v>
      </c>
      <c r="AC24" s="16" t="n">
        <v>78923</v>
      </c>
      <c r="AD24" s="16" t="n">
        <v>231816</v>
      </c>
      <c r="AE24" s="13" t="n">
        <v>238687</v>
      </c>
      <c r="AF24" s="13" t="n">
        <v>0</v>
      </c>
    </row>
    <row r="25" customFormat="false" ht="15.75" hidden="false" customHeight="false" outlineLevel="0" collapsed="false">
      <c r="A25" s="4"/>
      <c r="B25" s="4"/>
      <c r="C25" s="12" t="s">
        <v>24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 t="n">
        <v>35020</v>
      </c>
      <c r="X25" s="13" t="n">
        <v>35626</v>
      </c>
      <c r="Y25" s="13" t="n">
        <v>51545</v>
      </c>
      <c r="Z25" s="13" t="n">
        <v>52775</v>
      </c>
      <c r="AA25" s="13" t="n">
        <v>53027</v>
      </c>
      <c r="AB25" s="13" t="n">
        <v>53641</v>
      </c>
      <c r="AC25" s="16" t="n">
        <v>55691</v>
      </c>
      <c r="AD25" s="16" t="n">
        <v>57323</v>
      </c>
      <c r="AE25" s="13" t="n">
        <v>62182</v>
      </c>
      <c r="AF25" s="13" t="n">
        <v>0</v>
      </c>
    </row>
    <row r="26" customFormat="false" ht="15.75" hidden="false" customHeight="false" outlineLevel="0" collapsed="false">
      <c r="A26" s="4"/>
      <c r="B26" s="4"/>
      <c r="C26" s="12" t="s">
        <v>25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 t="n">
        <v>6539</v>
      </c>
      <c r="P26" s="13" t="n">
        <v>8350</v>
      </c>
      <c r="Q26" s="13" t="n">
        <v>9347</v>
      </c>
      <c r="R26" s="13" t="n">
        <v>10846</v>
      </c>
      <c r="S26" s="13" t="n">
        <v>13045</v>
      </c>
      <c r="T26" s="13" t="n">
        <v>13597</v>
      </c>
      <c r="U26" s="13" t="n">
        <v>13499</v>
      </c>
      <c r="V26" s="13" t="n">
        <v>15631</v>
      </c>
      <c r="W26" s="13" t="n">
        <v>18454</v>
      </c>
      <c r="X26" s="13" t="n">
        <v>21881</v>
      </c>
      <c r="Y26" s="13" t="n">
        <v>26070</v>
      </c>
      <c r="Z26" s="13" t="n">
        <v>28338</v>
      </c>
      <c r="AA26" s="13" t="n">
        <v>31863</v>
      </c>
      <c r="AB26" s="13" t="n">
        <v>35378</v>
      </c>
      <c r="AC26" s="16" t="n">
        <v>38460</v>
      </c>
      <c r="AD26" s="16" t="n">
        <v>40956</v>
      </c>
      <c r="AE26" s="13" t="n">
        <v>36066</v>
      </c>
      <c r="AF26" s="13" t="n">
        <v>0</v>
      </c>
    </row>
    <row r="27" customFormat="false" ht="15.75" hidden="false" customHeight="false" outlineLevel="0" collapsed="false">
      <c r="A27" s="4"/>
      <c r="B27" s="4"/>
      <c r="C27" s="12" t="s">
        <v>26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 t="n">
        <v>4490</v>
      </c>
      <c r="R27" s="13" t="n">
        <v>6274</v>
      </c>
      <c r="S27" s="13" t="n">
        <v>6254</v>
      </c>
      <c r="T27" s="13" t="n">
        <v>8403</v>
      </c>
      <c r="U27" s="13" t="n">
        <v>9056</v>
      </c>
      <c r="V27" s="13" t="n">
        <v>10810</v>
      </c>
      <c r="W27" s="13" t="n">
        <v>12900</v>
      </c>
      <c r="X27" s="13" t="n">
        <v>16230</v>
      </c>
      <c r="Y27" s="13" t="n">
        <v>20601</v>
      </c>
      <c r="Z27" s="13" t="n">
        <v>23787</v>
      </c>
      <c r="AA27" s="13" t="n">
        <v>25869</v>
      </c>
      <c r="AB27" s="13" t="n">
        <v>27718</v>
      </c>
      <c r="AC27" s="16" t="n">
        <v>31812</v>
      </c>
      <c r="AD27" s="16" t="n">
        <v>33834</v>
      </c>
      <c r="AE27" s="13" t="n">
        <v>29410</v>
      </c>
      <c r="AF27" s="13" t="n">
        <v>0</v>
      </c>
    </row>
    <row r="28" customFormat="false" ht="15.75" hidden="false" customHeight="false" outlineLevel="0" collapsed="false">
      <c r="A28" s="4"/>
      <c r="B28" s="4"/>
      <c r="C28" s="12" t="s">
        <v>27</v>
      </c>
      <c r="D28" s="13" t="n">
        <v>10727.1</v>
      </c>
      <c r="E28" s="13" t="n">
        <v>12269.37</v>
      </c>
      <c r="F28" s="13" t="n">
        <v>13575</v>
      </c>
      <c r="G28" s="13" t="n">
        <v>17182</v>
      </c>
      <c r="H28" s="13" t="n">
        <v>19863.48</v>
      </c>
      <c r="I28" s="13" t="n">
        <v>22037</v>
      </c>
      <c r="J28" s="13" t="n">
        <v>26095</v>
      </c>
      <c r="K28" s="13" t="n">
        <v>22218</v>
      </c>
      <c r="L28" s="13" t="n">
        <v>31268</v>
      </c>
      <c r="M28" s="13" t="n">
        <v>38586.65</v>
      </c>
      <c r="N28" s="13" t="n">
        <v>46131</v>
      </c>
      <c r="O28" s="13" t="n">
        <v>53330</v>
      </c>
      <c r="P28" s="13" t="n">
        <v>61653</v>
      </c>
      <c r="Q28" s="13" t="n">
        <v>66340</v>
      </c>
      <c r="R28" s="13" t="n">
        <v>75735</v>
      </c>
      <c r="S28" s="13" t="n">
        <v>79399</v>
      </c>
      <c r="T28" s="13" t="n">
        <v>78687</v>
      </c>
      <c r="U28" s="13" t="n">
        <v>77329</v>
      </c>
      <c r="V28" s="13" t="n">
        <v>87504</v>
      </c>
      <c r="W28" s="13" t="n">
        <v>99208</v>
      </c>
      <c r="X28" s="13" t="n">
        <v>116637</v>
      </c>
      <c r="Y28" s="13" t="n">
        <v>148800</v>
      </c>
      <c r="Z28" s="13" t="n">
        <v>159627</v>
      </c>
      <c r="AA28" s="13" t="n">
        <v>176940</v>
      </c>
      <c r="AB28" s="13" t="n">
        <v>178547</v>
      </c>
      <c r="AC28" s="16" t="n">
        <v>208375</v>
      </c>
      <c r="AD28" s="16" t="n">
        <v>232473</v>
      </c>
      <c r="AE28" s="13" t="n">
        <v>235481</v>
      </c>
      <c r="AF28" s="13" t="n">
        <v>0</v>
      </c>
    </row>
    <row r="29" customFormat="false" ht="15.75" hidden="false" customHeight="false" outlineLevel="0" collapsed="false">
      <c r="A29" s="4"/>
      <c r="B29" s="4"/>
      <c r="C29" s="12" t="s">
        <v>28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 t="n">
        <v>1793</v>
      </c>
      <c r="S29" s="30" t="n">
        <v>3230</v>
      </c>
      <c r="T29" s="13" t="n">
        <v>5207</v>
      </c>
      <c r="U29" s="13" t="n">
        <v>5734</v>
      </c>
      <c r="V29" s="13" t="n">
        <v>7446</v>
      </c>
      <c r="W29" s="13" t="n">
        <v>10085</v>
      </c>
      <c r="X29" s="13" t="n">
        <v>13634</v>
      </c>
      <c r="Y29" s="13" t="n">
        <v>20891</v>
      </c>
      <c r="Z29" s="13" t="n">
        <v>24425</v>
      </c>
      <c r="AA29" s="13" t="n">
        <v>29737</v>
      </c>
      <c r="AB29" s="13" t="n">
        <v>31187</v>
      </c>
      <c r="AC29" s="16" t="n">
        <v>41450</v>
      </c>
      <c r="AD29" s="16" t="n">
        <v>48671</v>
      </c>
      <c r="AE29" s="25" t="n">
        <v>48671</v>
      </c>
      <c r="AF29" s="13" t="n">
        <v>0</v>
      </c>
    </row>
    <row r="30" customFormat="false" ht="15.75" hidden="false" customHeight="false" outlineLevel="0" collapsed="false">
      <c r="A30" s="4"/>
      <c r="B30" s="4"/>
      <c r="C30" s="12" t="s">
        <v>29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 t="n">
        <v>10000</v>
      </c>
      <c r="T30" s="13" t="n">
        <v>10781</v>
      </c>
      <c r="U30" s="13" t="n">
        <v>11081</v>
      </c>
      <c r="V30" s="13" t="n">
        <v>11382</v>
      </c>
      <c r="W30" s="13" t="n">
        <v>11312</v>
      </c>
      <c r="X30" s="13" t="n">
        <v>17370</v>
      </c>
      <c r="Y30" s="13" t="n">
        <v>19069</v>
      </c>
      <c r="Z30" s="13" t="n">
        <v>27000</v>
      </c>
      <c r="AA30" s="13" t="n">
        <v>30085</v>
      </c>
      <c r="AB30" s="13" t="n">
        <v>31000</v>
      </c>
      <c r="AC30" s="16" t="n">
        <v>41640</v>
      </c>
      <c r="AD30" s="16" t="n">
        <v>44837</v>
      </c>
      <c r="AE30" s="13" t="n">
        <v>46652</v>
      </c>
      <c r="AF30" s="13" t="n">
        <v>0</v>
      </c>
    </row>
    <row r="31" customFormat="false" ht="15.75" hidden="false" customHeight="false" outlineLevel="0" collapsed="false">
      <c r="A31" s="4"/>
      <c r="B31" s="4"/>
      <c r="C31" s="12" t="s">
        <v>30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 t="n">
        <v>10000</v>
      </c>
      <c r="U31" s="13" t="n">
        <v>10000</v>
      </c>
      <c r="V31" s="13" t="n">
        <v>10000</v>
      </c>
      <c r="W31" s="13" t="n">
        <v>10000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6" t="n">
        <v>0</v>
      </c>
      <c r="AD31" s="16" t="n">
        <v>0</v>
      </c>
      <c r="AE31" s="13" t="n">
        <v>0</v>
      </c>
      <c r="AF31" s="13" t="n">
        <v>0</v>
      </c>
    </row>
    <row r="32" customFormat="false" ht="15.75" hidden="false" customHeight="false" outlineLevel="0" collapsed="false">
      <c r="A32" s="4"/>
      <c r="B32" s="4"/>
      <c r="C32" s="12" t="s">
        <v>31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6" t="n">
        <v>0</v>
      </c>
      <c r="AD32" s="16" t="n">
        <v>0</v>
      </c>
      <c r="AE32" s="13" t="n">
        <v>0</v>
      </c>
      <c r="AF32" s="13" t="n">
        <v>0</v>
      </c>
    </row>
    <row r="33" customFormat="false" ht="15.75" hidden="false" customHeight="false" outlineLevel="0" collapsed="false">
      <c r="A33" s="4"/>
      <c r="B33" s="4"/>
      <c r="C33" s="20" t="s">
        <v>32</v>
      </c>
      <c r="D33" s="21" t="n">
        <f aca="false">SUM(D22:D32)</f>
        <v>47405.91</v>
      </c>
      <c r="E33" s="21" t="n">
        <f aca="false">SUM(E21:E32)</f>
        <v>57649.36</v>
      </c>
      <c r="F33" s="21" t="n">
        <f aca="false">SUM(F21:F32)</f>
        <v>74876.64</v>
      </c>
      <c r="G33" s="21" t="n">
        <f aca="false">SUM(G21:G32)</f>
        <v>82111</v>
      </c>
      <c r="H33" s="21" t="n">
        <f aca="false">SUM(H21:H32)</f>
        <v>110874.56</v>
      </c>
      <c r="I33" s="21" t="n">
        <f aca="false">SUM(I21:I32)</f>
        <v>124731.91</v>
      </c>
      <c r="J33" s="21" t="n">
        <f aca="false">SUM(J21:J32)</f>
        <v>150155</v>
      </c>
      <c r="K33" s="21" t="n">
        <f aca="false">SUM(K21:K32)</f>
        <v>123252</v>
      </c>
      <c r="L33" s="21" t="n">
        <f aca="false">SUM(L21:L32)</f>
        <v>155820</v>
      </c>
      <c r="M33" s="21" t="n">
        <f aca="false">SUM(M21:M32)</f>
        <v>192382.68</v>
      </c>
      <c r="N33" s="21" t="n">
        <f aca="false">SUM(N21:N32)</f>
        <v>230431</v>
      </c>
      <c r="O33" s="21" t="n">
        <f aca="false">SUM(O21:O32)</f>
        <v>288577</v>
      </c>
      <c r="P33" s="21" t="n">
        <f aca="false">SUM(P21:P32)</f>
        <v>325703</v>
      </c>
      <c r="Q33" s="21" t="n">
        <f aca="false">SUM(Q21:Q32)</f>
        <v>339077</v>
      </c>
      <c r="R33" s="21" t="n">
        <f aca="false">SUM(R21:R32)</f>
        <v>356288</v>
      </c>
      <c r="S33" s="21" t="n">
        <f aca="false">SUM(S21:S32)</f>
        <v>356093</v>
      </c>
      <c r="T33" s="21" t="n">
        <f aca="false">SUM(T21:T32)</f>
        <v>347308</v>
      </c>
      <c r="U33" s="21" t="n">
        <f aca="false">SUM(U21:U32)</f>
        <v>327845</v>
      </c>
      <c r="V33" s="21" t="n">
        <f aca="false">SUM(V21:V32)</f>
        <v>361949.96</v>
      </c>
      <c r="W33" s="21" t="n">
        <f aca="false">SUM(W21:W32)</f>
        <v>445614</v>
      </c>
      <c r="X33" s="21" t="n">
        <f aca="false">SUM(X21:X32)</f>
        <v>468978</v>
      </c>
      <c r="Y33" s="21" t="n">
        <f aca="false">SUM(Y21:Y32)</f>
        <v>555098</v>
      </c>
      <c r="Z33" s="21" t="n">
        <f aca="false">SUM(Z21:Z32)</f>
        <v>590725</v>
      </c>
      <c r="AA33" s="21" t="n">
        <f aca="false">SUM(AA21:AA32)</f>
        <v>672799</v>
      </c>
      <c r="AB33" s="21" t="n">
        <f aca="false">SUM(AB21:AB32)</f>
        <v>702379.57</v>
      </c>
      <c r="AC33" s="26" t="n">
        <f aca="false">SUM(AC21:AC32)</f>
        <v>783888</v>
      </c>
      <c r="AD33" s="26" t="n">
        <f aca="false">SUM(AD21:AD32)</f>
        <v>1125958</v>
      </c>
      <c r="AE33" s="21" t="n">
        <f aca="false">SUM(AE21:AE32)</f>
        <v>1140709</v>
      </c>
      <c r="AF33" s="21" t="n">
        <f aca="false">SUM(AF21:AF32)</f>
        <v>0</v>
      </c>
    </row>
    <row r="34" customFormat="false" ht="15.75" hidden="false" customHeight="false" outlineLevel="0" collapsed="false">
      <c r="A34" s="4"/>
      <c r="B34" s="4"/>
      <c r="C34" s="20" t="s">
        <v>33</v>
      </c>
      <c r="D34" s="27" t="n">
        <f aca="false">D33/D5</f>
        <v>3160394</v>
      </c>
      <c r="E34" s="27" t="n">
        <f aca="false">E33/E5</f>
        <v>4117811.42857143</v>
      </c>
      <c r="F34" s="27" t="n">
        <f aca="false">F33/F5</f>
        <v>5348331.42857143</v>
      </c>
      <c r="G34" s="27" t="n">
        <f aca="false">G33/G5</f>
        <v>5865071.42857143</v>
      </c>
      <c r="H34" s="27" t="n">
        <f aca="false">H33/H5</f>
        <v>7391637.33333333</v>
      </c>
      <c r="I34" s="27" t="n">
        <f aca="false">I33/I5</f>
        <v>8909422.14285714</v>
      </c>
      <c r="J34" s="27" t="n">
        <f aca="false">J33/J5</f>
        <v>10725357.1428571</v>
      </c>
      <c r="K34" s="27" t="n">
        <f aca="false">K33/K5</f>
        <v>9480923.07692308</v>
      </c>
      <c r="L34" s="27" t="n">
        <f aca="false">L33/L5</f>
        <v>11986153.8461538</v>
      </c>
      <c r="M34" s="27" t="n">
        <f aca="false">M33/M5</f>
        <v>13741620</v>
      </c>
      <c r="N34" s="27" t="n">
        <f aca="false">N33/N5</f>
        <v>16459357.1428571</v>
      </c>
      <c r="O34" s="27" t="n">
        <f aca="false">O33/O5</f>
        <v>20612642.8571429</v>
      </c>
      <c r="P34" s="27" t="n">
        <f aca="false">P33/P5</f>
        <v>25054076.9230769</v>
      </c>
      <c r="Q34" s="27" t="n">
        <f aca="false">Q33/Q5</f>
        <v>26082846.1538462</v>
      </c>
      <c r="R34" s="27" t="n">
        <f aca="false">R33/R5</f>
        <v>27406769.2307692</v>
      </c>
      <c r="S34" s="27" t="n">
        <f aca="false">S33/S5</f>
        <v>27391769.2307692</v>
      </c>
      <c r="T34" s="27" t="n">
        <f aca="false">T33/T5</f>
        <v>26716000</v>
      </c>
      <c r="U34" s="27" t="n">
        <f aca="false">U33/U5</f>
        <v>27320416.6666667</v>
      </c>
      <c r="V34" s="27" t="n">
        <f aca="false">V33/V5</f>
        <v>30162496.6666667</v>
      </c>
      <c r="W34" s="27" t="n">
        <f aca="false">W33/W5</f>
        <v>37134500</v>
      </c>
      <c r="X34" s="27" t="n">
        <f aca="false">X33/X5</f>
        <v>39081500</v>
      </c>
      <c r="Y34" s="27" t="n">
        <f aca="false">Y33/Y5</f>
        <v>46258166.6666667</v>
      </c>
      <c r="Z34" s="27" t="n">
        <f aca="false">Z33/Z5</f>
        <v>49227083.3333333</v>
      </c>
      <c r="AA34" s="27" t="n">
        <f aca="false">AA33/AA5</f>
        <v>56066583.3333333</v>
      </c>
      <c r="AB34" s="27" t="n">
        <f aca="false">AB33/AB5</f>
        <v>58531630.8333333</v>
      </c>
      <c r="AC34" s="31" t="n">
        <f aca="false">AC33/AC5</f>
        <v>65324000</v>
      </c>
      <c r="AD34" s="32" t="n">
        <f aca="false">AD33/AD5</f>
        <v>102359818.181818</v>
      </c>
      <c r="AE34" s="27" t="n">
        <f aca="false">AE33/AE5</f>
        <v>103700818.181818</v>
      </c>
      <c r="AF34" s="27" t="e">
        <f aca="false">AF33/AF5</f>
        <v>#DIV/0!</v>
      </c>
    </row>
    <row r="35" customFormat="false" ht="15.75" hidden="false" customHeight="false" outlineLevel="0" collapsed="false">
      <c r="A35" s="4"/>
      <c r="B35" s="4"/>
      <c r="C35" s="20" t="s">
        <v>20</v>
      </c>
      <c r="D35" s="27"/>
      <c r="E35" s="24" t="n">
        <f aca="false">(E33-D33)/D33</f>
        <v>0.216079598514194</v>
      </c>
      <c r="F35" s="24" t="n">
        <f aca="false">(F33-E33)/E33</f>
        <v>0.298828642677039</v>
      </c>
      <c r="G35" s="24" t="n">
        <f aca="false">(G33-F33)/F33</f>
        <v>0.09661704905562</v>
      </c>
      <c r="H35" s="24" t="n">
        <f aca="false">(H33-G33)/G33</f>
        <v>0.350300934101399</v>
      </c>
      <c r="I35" s="24" t="n">
        <f aca="false">(I33-H33)/H33</f>
        <v>0.124982232173007</v>
      </c>
      <c r="J35" s="24" t="n">
        <f aca="false">(J33-I33)/I33</f>
        <v>0.203821860821341</v>
      </c>
      <c r="K35" s="24" t="n">
        <f aca="false">(K33-J33)/J33</f>
        <v>-0.17916819286737</v>
      </c>
      <c r="L35" s="24" t="n">
        <f aca="false">(L33-K33)/K33</f>
        <v>0.264239119852011</v>
      </c>
      <c r="M35" s="24" t="n">
        <f aca="false">(M33-L33)/L33</f>
        <v>0.234646900269542</v>
      </c>
      <c r="N35" s="24" t="n">
        <f aca="false">(N33-M33)/M33</f>
        <v>0.197774144741096</v>
      </c>
      <c r="O35" s="24" t="n">
        <f aca="false">(O33-N33)/N33</f>
        <v>0.25233584022983</v>
      </c>
      <c r="P35" s="24" t="n">
        <f aca="false">(P33-O33)/O33</f>
        <v>0.128651971570846</v>
      </c>
      <c r="Q35" s="24" t="n">
        <f aca="false">(Q33-P33)/P33</f>
        <v>0.0410619490763057</v>
      </c>
      <c r="R35" s="24" t="n">
        <f aca="false">(R33-Q33)/Q33</f>
        <v>0.0507583823143416</v>
      </c>
      <c r="S35" s="24" t="n">
        <f aca="false">(S33-R33)/R33</f>
        <v>-0.000547310041314891</v>
      </c>
      <c r="T35" s="24" t="n">
        <f aca="false">(T33-S33)/S33</f>
        <v>-0.0246705214648982</v>
      </c>
      <c r="U35" s="24" t="n">
        <f aca="false">(U33-T33)/T33</f>
        <v>-0.0560395959782095</v>
      </c>
      <c r="V35" s="24" t="n">
        <f aca="false">(V33-U33)/U33</f>
        <v>0.104027696014885</v>
      </c>
      <c r="W35" s="24" t="n">
        <f aca="false">(W33-V33)/V33</f>
        <v>0.231148084668942</v>
      </c>
      <c r="X35" s="24" t="n">
        <f aca="false">(X33-W33)/W33</f>
        <v>0.0524310277504746</v>
      </c>
      <c r="Y35" s="24" t="n">
        <f aca="false">(Y33-X33)/X33</f>
        <v>0.183633347406488</v>
      </c>
      <c r="Z35" s="24" t="n">
        <f aca="false">(Z33-Y33)/Y33</f>
        <v>0.0641814598503327</v>
      </c>
      <c r="AA35" s="24" t="n">
        <f aca="false">(AA33-Z33)/Z33</f>
        <v>0.138937745990097</v>
      </c>
      <c r="AB35" s="24" t="n">
        <f aca="false">(AB33-AA33)/AA33</f>
        <v>0.0439664297955258</v>
      </c>
      <c r="AC35" s="29" t="n">
        <f aca="false">(AC33-AB33)/AB33</f>
        <v>0.1160461287335</v>
      </c>
      <c r="AD35" s="29" t="n">
        <f aca="false">(AD33-AB33)/AB33</f>
        <v>0.603062002501013</v>
      </c>
      <c r="AE35" s="24" t="n">
        <f aca="false">(AE33-AA33)/AA33</f>
        <v>0.695467739993668</v>
      </c>
      <c r="AF35" s="24" t="n">
        <f aca="false">(AF33-AB33)/AB33</f>
        <v>-1</v>
      </c>
    </row>
    <row r="36" customFormat="false" ht="15.75" hidden="false" customHeight="false" outlineLevel="0" collapsed="false">
      <c r="A36" s="4"/>
      <c r="B36" s="4"/>
      <c r="C36" s="1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4"/>
      <c r="AD36" s="35"/>
      <c r="AE36" s="33"/>
      <c r="AF36" s="33"/>
    </row>
    <row r="37" customFormat="false" ht="15.75" hidden="false" customHeight="false" outlineLevel="0" collapsed="false">
      <c r="A37" s="4"/>
      <c r="B37" s="4"/>
      <c r="C37" s="12" t="s">
        <v>34</v>
      </c>
      <c r="D37" s="36" t="n">
        <v>202331.21</v>
      </c>
      <c r="E37" s="36" t="n">
        <v>153933.21</v>
      </c>
      <c r="F37" s="36" t="n">
        <v>135204.21</v>
      </c>
      <c r="G37" s="36" t="n">
        <v>106007</v>
      </c>
      <c r="H37" s="36" t="n">
        <v>75461.71</v>
      </c>
      <c r="I37" s="36" t="n">
        <v>45461.71</v>
      </c>
      <c r="J37" s="36" t="n">
        <v>86722</v>
      </c>
      <c r="K37" s="36" t="n">
        <v>64576</v>
      </c>
      <c r="L37" s="36" t="n">
        <v>2970279</v>
      </c>
      <c r="M37" s="36" t="n">
        <v>2960382</v>
      </c>
      <c r="N37" s="36" t="n">
        <v>957335</v>
      </c>
      <c r="O37" s="36" t="n">
        <v>933588</v>
      </c>
      <c r="P37" s="36" t="n">
        <v>938145.21</v>
      </c>
      <c r="Q37" s="36" t="n">
        <v>944530</v>
      </c>
      <c r="R37" s="36" t="n">
        <v>840535</v>
      </c>
      <c r="S37" s="36" t="n">
        <v>841130</v>
      </c>
      <c r="T37" s="36" t="n">
        <v>764843</v>
      </c>
      <c r="U37" s="36" t="n">
        <v>720080</v>
      </c>
      <c r="V37" s="36" t="n">
        <v>2941213</v>
      </c>
      <c r="W37" s="36" t="n">
        <v>1642844</v>
      </c>
      <c r="X37" s="36" t="n">
        <v>1611630</v>
      </c>
      <c r="Y37" s="36" t="n">
        <v>1357155</v>
      </c>
      <c r="Z37" s="36" t="n">
        <v>1311368</v>
      </c>
      <c r="AA37" s="36" t="n">
        <v>1219919</v>
      </c>
      <c r="AB37" s="36" t="n">
        <v>1219919</v>
      </c>
      <c r="AC37" s="37" t="n">
        <v>1000000</v>
      </c>
      <c r="AD37" s="37" t="n">
        <v>968900</v>
      </c>
      <c r="AE37" s="36" t="n">
        <v>900000</v>
      </c>
      <c r="AF37" s="36" t="n">
        <v>0</v>
      </c>
    </row>
    <row r="38" customFormat="false" ht="15.75" hidden="false" customHeight="false" outlineLevel="0" collapsed="false">
      <c r="A38" s="4"/>
      <c r="B38" s="4"/>
      <c r="C38" s="12" t="s">
        <v>35</v>
      </c>
      <c r="D38" s="36" t="n">
        <v>2500000</v>
      </c>
      <c r="E38" s="36" t="n">
        <v>2500000</v>
      </c>
      <c r="F38" s="36" t="n">
        <v>2500000</v>
      </c>
      <c r="G38" s="36" t="n">
        <v>2500000</v>
      </c>
      <c r="H38" s="36" t="n">
        <v>2500000</v>
      </c>
      <c r="I38" s="36" t="n">
        <v>2500000</v>
      </c>
      <c r="J38" s="36" t="n">
        <v>2500000</v>
      </c>
      <c r="K38" s="36" t="n">
        <v>2500000</v>
      </c>
      <c r="L38" s="38" t="n">
        <v>0</v>
      </c>
      <c r="M38" s="36" t="n">
        <v>0</v>
      </c>
      <c r="N38" s="36" t="n">
        <v>2000000</v>
      </c>
      <c r="O38" s="36" t="n">
        <v>2000000</v>
      </c>
      <c r="P38" s="36" t="n">
        <v>2000000</v>
      </c>
      <c r="Q38" s="36" t="n">
        <v>2000000</v>
      </c>
      <c r="R38" s="36" t="n">
        <v>2000000</v>
      </c>
      <c r="S38" s="36" t="n">
        <v>2000000</v>
      </c>
      <c r="T38" s="36" t="n">
        <v>2000000</v>
      </c>
      <c r="U38" s="36" t="n">
        <v>2000000</v>
      </c>
      <c r="V38" s="36" t="n">
        <v>0</v>
      </c>
      <c r="W38" s="36" t="n">
        <v>0</v>
      </c>
      <c r="X38" s="36" t="n">
        <v>0</v>
      </c>
      <c r="Y38" s="36" t="n">
        <v>0</v>
      </c>
      <c r="Z38" s="36" t="n">
        <v>0</v>
      </c>
      <c r="AA38" s="36" t="n">
        <v>0</v>
      </c>
      <c r="AB38" s="36" t="n">
        <v>0</v>
      </c>
      <c r="AC38" s="37" t="n">
        <v>0</v>
      </c>
      <c r="AD38" s="37" t="n">
        <v>0</v>
      </c>
      <c r="AE38" s="36" t="n">
        <v>0</v>
      </c>
      <c r="AF38" s="36" t="n">
        <v>0</v>
      </c>
    </row>
    <row r="39" customFormat="false" ht="15.75" hidden="false" customHeight="false" outlineLevel="0" collapsed="false">
      <c r="A39" s="4"/>
      <c r="B39" s="4"/>
      <c r="C39" s="12" t="s">
        <v>36</v>
      </c>
      <c r="D39" s="36" t="n">
        <v>1500000</v>
      </c>
      <c r="E39" s="36" t="n">
        <v>1603842</v>
      </c>
      <c r="F39" s="36" t="n">
        <v>1603842</v>
      </c>
      <c r="G39" s="36" t="n">
        <v>1603842</v>
      </c>
      <c r="H39" s="36" t="n">
        <v>1603842</v>
      </c>
      <c r="I39" s="36" t="n">
        <v>1714030</v>
      </c>
      <c r="J39" s="36" t="n">
        <v>1714030</v>
      </c>
      <c r="K39" s="36" t="n">
        <v>1714030</v>
      </c>
      <c r="L39" s="36" t="n">
        <v>1714030</v>
      </c>
      <c r="M39" s="36" t="n">
        <v>1828187</v>
      </c>
      <c r="N39" s="36" t="n">
        <v>1828187</v>
      </c>
      <c r="O39" s="36" t="n">
        <v>1828187</v>
      </c>
      <c r="P39" s="36" t="n">
        <v>1828187</v>
      </c>
      <c r="Q39" s="36" t="n">
        <v>1919428</v>
      </c>
      <c r="R39" s="36" t="n">
        <v>1919428</v>
      </c>
      <c r="S39" s="36" t="n">
        <v>1919428</v>
      </c>
      <c r="T39" s="36" t="n">
        <v>1919428</v>
      </c>
      <c r="U39" s="36" t="n">
        <v>2017214</v>
      </c>
      <c r="V39" s="36" t="n">
        <v>2017214</v>
      </c>
      <c r="W39" s="36" t="n">
        <v>2017214</v>
      </c>
      <c r="X39" s="36" t="n">
        <v>2017214</v>
      </c>
      <c r="Y39" s="36" t="n">
        <v>2151564</v>
      </c>
      <c r="Z39" s="36" t="n">
        <v>2151564</v>
      </c>
      <c r="AA39" s="36" t="n">
        <v>2301644</v>
      </c>
      <c r="AB39" s="36" t="n">
        <v>2301644</v>
      </c>
      <c r="AC39" s="37" t="n">
        <v>2301644</v>
      </c>
      <c r="AD39" s="37" t="n">
        <v>2462192</v>
      </c>
      <c r="AE39" s="36" t="n">
        <v>2462192</v>
      </c>
      <c r="AF39" s="36" t="n">
        <v>0</v>
      </c>
    </row>
    <row r="40" customFormat="false" ht="15.75" hidden="false" customHeight="false" outlineLevel="0" collapsed="false">
      <c r="A40" s="4"/>
      <c r="B40" s="4"/>
      <c r="C40" s="12" t="s">
        <v>37</v>
      </c>
      <c r="D40" s="39" t="n">
        <v>9892</v>
      </c>
      <c r="E40" s="39" t="n">
        <v>9892</v>
      </c>
      <c r="F40" s="39" t="n">
        <v>9892</v>
      </c>
      <c r="G40" s="39" t="n">
        <v>9892</v>
      </c>
      <c r="H40" s="39" t="n">
        <v>9892</v>
      </c>
      <c r="I40" s="39" t="n">
        <v>9892</v>
      </c>
      <c r="J40" s="39" t="n">
        <v>29892</v>
      </c>
      <c r="K40" s="39" t="n">
        <v>29892</v>
      </c>
      <c r="L40" s="39" t="n">
        <v>29892</v>
      </c>
      <c r="M40" s="39" t="n">
        <v>29892</v>
      </c>
      <c r="N40" s="39" t="n">
        <v>33841</v>
      </c>
      <c r="O40" s="39" t="n">
        <v>33841</v>
      </c>
      <c r="P40" s="39" t="n">
        <v>33841</v>
      </c>
      <c r="Q40" s="39" t="n">
        <v>33841</v>
      </c>
      <c r="R40" s="39" t="n">
        <v>33841</v>
      </c>
      <c r="S40" s="39" t="n">
        <v>33841</v>
      </c>
      <c r="T40" s="39" t="n">
        <v>33841</v>
      </c>
      <c r="U40" s="39" t="n">
        <v>33841</v>
      </c>
      <c r="V40" s="39" t="n">
        <v>33841</v>
      </c>
      <c r="W40" s="36" t="n">
        <v>33841</v>
      </c>
      <c r="X40" s="36" t="n">
        <v>33841</v>
      </c>
      <c r="Y40" s="36" t="n">
        <v>17752</v>
      </c>
      <c r="Z40" s="36" t="n">
        <v>17752</v>
      </c>
      <c r="AA40" s="36" t="n">
        <v>37752</v>
      </c>
      <c r="AB40" s="36" t="n">
        <v>37752</v>
      </c>
      <c r="AC40" s="37" t="n">
        <v>37752</v>
      </c>
      <c r="AD40" s="37" t="n">
        <v>37752</v>
      </c>
      <c r="AE40" s="36" t="n">
        <v>37752</v>
      </c>
      <c r="AF40" s="36" t="n">
        <v>0</v>
      </c>
    </row>
    <row r="41" customFormat="false" ht="15.75" hidden="false" customHeight="false" outlineLevel="0" collapsed="false">
      <c r="A41" s="4"/>
      <c r="B41" s="4"/>
      <c r="C41" s="12" t="s">
        <v>38</v>
      </c>
      <c r="D41" s="39" t="n">
        <v>1000000</v>
      </c>
      <c r="E41" s="39" t="n">
        <v>1000000</v>
      </c>
      <c r="F41" s="39" t="n">
        <v>1000000</v>
      </c>
      <c r="G41" s="39" t="n">
        <v>1000000</v>
      </c>
      <c r="H41" s="39" t="n">
        <v>1000000</v>
      </c>
      <c r="I41" s="39" t="n">
        <v>1000000</v>
      </c>
      <c r="J41" s="39" t="n">
        <v>1000000</v>
      </c>
      <c r="K41" s="39" t="n">
        <v>1000000</v>
      </c>
      <c r="L41" s="39" t="n">
        <v>1000000</v>
      </c>
      <c r="M41" s="39" t="n">
        <v>1000000</v>
      </c>
      <c r="N41" s="39" t="n">
        <v>1000000</v>
      </c>
      <c r="O41" s="39" t="n">
        <v>1000000</v>
      </c>
      <c r="P41" s="39" t="n">
        <v>1000000</v>
      </c>
      <c r="Q41" s="39" t="n">
        <v>1000000</v>
      </c>
      <c r="R41" s="39" t="n">
        <v>1000000</v>
      </c>
      <c r="S41" s="39" t="n">
        <v>1000000</v>
      </c>
      <c r="T41" s="39" t="n">
        <v>1000000</v>
      </c>
      <c r="U41" s="39" t="n">
        <v>1000000</v>
      </c>
      <c r="V41" s="39" t="n">
        <v>0</v>
      </c>
      <c r="W41" s="36" t="n">
        <v>0</v>
      </c>
      <c r="X41" s="36" t="n">
        <v>0</v>
      </c>
      <c r="Y41" s="36" t="n">
        <v>0</v>
      </c>
      <c r="Z41" s="36" t="n">
        <v>0</v>
      </c>
      <c r="AA41" s="36" t="n">
        <v>0</v>
      </c>
      <c r="AB41" s="36" t="n">
        <v>0</v>
      </c>
      <c r="AC41" s="37" t="n">
        <v>0</v>
      </c>
      <c r="AD41" s="37" t="n">
        <v>0</v>
      </c>
      <c r="AE41" s="36" t="n">
        <v>0</v>
      </c>
      <c r="AF41" s="36" t="n">
        <v>0</v>
      </c>
    </row>
    <row r="42" customFormat="false" ht="15.75" hidden="false" customHeight="false" outlineLevel="0" collapsed="false">
      <c r="A42" s="4"/>
      <c r="B42" s="4"/>
      <c r="C42" s="20" t="s">
        <v>39</v>
      </c>
      <c r="D42" s="27" t="n">
        <f aca="false">SUM(D37:D41)</f>
        <v>5212223.21</v>
      </c>
      <c r="E42" s="27" t="n">
        <f aca="false">SUM(E37:E41)</f>
        <v>5267667.21</v>
      </c>
      <c r="F42" s="27" t="n">
        <f aca="false">SUM(F37:F41)</f>
        <v>5248938.21</v>
      </c>
      <c r="G42" s="27" t="n">
        <f aca="false">SUM(G37:G41)</f>
        <v>5219741</v>
      </c>
      <c r="H42" s="27" t="n">
        <f aca="false">SUM(H37:H41)</f>
        <v>5189195.71</v>
      </c>
      <c r="I42" s="27" t="n">
        <f aca="false">SUM(I37:I41)</f>
        <v>5269383.71</v>
      </c>
      <c r="J42" s="27" t="n">
        <f aca="false">SUM(J37:J41)</f>
        <v>5330644</v>
      </c>
      <c r="K42" s="27" t="n">
        <f aca="false">SUM(K37:K41)</f>
        <v>5308498</v>
      </c>
      <c r="L42" s="27" t="n">
        <f aca="false">SUM(L37:L41)</f>
        <v>5714201</v>
      </c>
      <c r="M42" s="27" t="n">
        <f aca="false">SUM(M37:M41)</f>
        <v>5818461</v>
      </c>
      <c r="N42" s="27" t="n">
        <f aca="false">SUM(N37:N41)</f>
        <v>5819363</v>
      </c>
      <c r="O42" s="27" t="n">
        <f aca="false">SUM(O37:O41)</f>
        <v>5795616</v>
      </c>
      <c r="P42" s="27" t="n">
        <f aca="false">SUM(P37:P41)</f>
        <v>5800173.21</v>
      </c>
      <c r="Q42" s="27" t="n">
        <f aca="false">SUM(Q37:Q41)</f>
        <v>5897799</v>
      </c>
      <c r="R42" s="27" t="n">
        <f aca="false">SUM(R37:R41)</f>
        <v>5793804</v>
      </c>
      <c r="S42" s="27" t="n">
        <f aca="false">SUM(S37:S41)</f>
        <v>5794399</v>
      </c>
      <c r="T42" s="27" t="n">
        <f aca="false">SUM(T37:T41)</f>
        <v>5718112</v>
      </c>
      <c r="U42" s="27" t="n">
        <f aca="false">SUM(U37:U41)</f>
        <v>5771135</v>
      </c>
      <c r="V42" s="27" t="n">
        <f aca="false">SUM(V37:V41)</f>
        <v>4992268</v>
      </c>
      <c r="W42" s="27" t="n">
        <f aca="false">SUM(W37:W41)</f>
        <v>3693899</v>
      </c>
      <c r="X42" s="27" t="n">
        <f aca="false">SUM(X37:X41)</f>
        <v>3662685</v>
      </c>
      <c r="Y42" s="27" t="n">
        <f aca="false">SUM(Y37:Y41)</f>
        <v>3526471</v>
      </c>
      <c r="Z42" s="27" t="n">
        <f aca="false">SUM(Z37:Z41)</f>
        <v>3480684</v>
      </c>
      <c r="AA42" s="27" t="n">
        <f aca="false">SUM(AA37:AA41)</f>
        <v>3559315</v>
      </c>
      <c r="AB42" s="27" t="n">
        <f aca="false">SUM(AB37:AB41)</f>
        <v>3559315</v>
      </c>
      <c r="AC42" s="31" t="n">
        <f aca="false">SUM(AC37:AC41)</f>
        <v>3339396</v>
      </c>
      <c r="AD42" s="31" t="n">
        <f aca="false">SUM(AD37:AD41)</f>
        <v>3468844</v>
      </c>
      <c r="AE42" s="27" t="n">
        <f aca="false">SUM(AE37:AE41)</f>
        <v>3399944</v>
      </c>
      <c r="AF42" s="27" t="n">
        <f aca="false">SUM(AF37:AF41)</f>
        <v>0</v>
      </c>
    </row>
    <row r="43" customFormat="false" ht="15.75" hidden="false" customHeight="false" outlineLevel="0" collapsed="false">
      <c r="A43" s="4"/>
      <c r="B43" s="4"/>
      <c r="C43" s="20" t="s">
        <v>40</v>
      </c>
      <c r="D43" s="21" t="n">
        <f aca="false">SUM(D37:D41)*D5</f>
        <v>78183.34815</v>
      </c>
      <c r="E43" s="21" t="n">
        <f aca="false">SUM(E37:E41)*E5</f>
        <v>73747.34094</v>
      </c>
      <c r="F43" s="21" t="n">
        <f aca="false">SUM(F37:F41)*F5</f>
        <v>73485.13494</v>
      </c>
      <c r="G43" s="21" t="n">
        <f aca="false">SUM(G37:G41)*G5</f>
        <v>73076.374</v>
      </c>
      <c r="H43" s="21" t="n">
        <f aca="false">SUM(H37:H41)*H5</f>
        <v>77837.93565</v>
      </c>
      <c r="I43" s="21" t="n">
        <f aca="false">SUM(I37:I41)*I5</f>
        <v>73771.37194</v>
      </c>
      <c r="J43" s="21" t="n">
        <f aca="false">SUM(J37:J41)*J5</f>
        <v>74629.016</v>
      </c>
      <c r="K43" s="21" t="n">
        <f aca="false">SUM(K37:K41)*K5</f>
        <v>69010.474</v>
      </c>
      <c r="L43" s="21" t="n">
        <f aca="false">SUM(L37:L41)*L5</f>
        <v>74284.613</v>
      </c>
      <c r="M43" s="21" t="n">
        <f aca="false">SUM(M37:M41)*M5</f>
        <v>81458.454</v>
      </c>
      <c r="N43" s="21" t="n">
        <f aca="false">SUM(N37:N41)*N5</f>
        <v>81471.082</v>
      </c>
      <c r="O43" s="21" t="n">
        <f aca="false">SUM(O37:O41)*O5</f>
        <v>81138.624</v>
      </c>
      <c r="P43" s="21" t="n">
        <f aca="false">SUM(P37:P41)*P5</f>
        <v>75402.25173</v>
      </c>
      <c r="Q43" s="21" t="n">
        <f aca="false">SUM(Q37:Q41)*Q5</f>
        <v>76671.387</v>
      </c>
      <c r="R43" s="21" t="n">
        <f aca="false">SUM(R37:R41)*R5</f>
        <v>75319.452</v>
      </c>
      <c r="S43" s="21" t="n">
        <f aca="false">SUM(S37:S41)*S5</f>
        <v>75327.187</v>
      </c>
      <c r="T43" s="21" t="n">
        <f aca="false">SUM(T37:T41)*T5</f>
        <v>74335.456</v>
      </c>
      <c r="U43" s="21" t="n">
        <f aca="false">SUM(U37:U41)*U5</f>
        <v>69253.62</v>
      </c>
      <c r="V43" s="21" t="n">
        <f aca="false">SUM(V37:V41)*V5</f>
        <v>59907.216</v>
      </c>
      <c r="W43" s="21" t="n">
        <f aca="false">SUM(W37:W41)*W5</f>
        <v>44326.788</v>
      </c>
      <c r="X43" s="21" t="n">
        <f aca="false">SUM(X37:X41)*X5</f>
        <v>43952.22</v>
      </c>
      <c r="Y43" s="21" t="n">
        <f aca="false">SUM(Y37:Y41)*Y5</f>
        <v>42317.652</v>
      </c>
      <c r="Z43" s="21" t="n">
        <f aca="false">SUM(Z37:Z41)*Z5</f>
        <v>41768.208</v>
      </c>
      <c r="AA43" s="21" t="n">
        <f aca="false">SUM(AA37:AA41)*AA5</f>
        <v>42711.78</v>
      </c>
      <c r="AB43" s="21" t="n">
        <f aca="false">SUM(AB37:AB41)*AB5</f>
        <v>42711.78</v>
      </c>
      <c r="AC43" s="26" t="n">
        <f aca="false">SUM(AC37:AC41)*AC5</f>
        <v>40072.752</v>
      </c>
      <c r="AD43" s="26" t="n">
        <f aca="false">SUM(AD37:AD41)*AD5</f>
        <v>38157.284</v>
      </c>
      <c r="AE43" s="21" t="n">
        <f aca="false">SUM(AE37:AE41)*AE5</f>
        <v>37399.384</v>
      </c>
      <c r="AF43" s="21" t="n">
        <f aca="false">SUM(AF37:AF41)*AF5</f>
        <v>0</v>
      </c>
    </row>
    <row r="44" customFormat="false" ht="15.75" hidden="false" customHeight="false" outlineLevel="0" collapsed="false">
      <c r="A44" s="4"/>
      <c r="B44" s="4"/>
      <c r="C44" s="20" t="s">
        <v>20</v>
      </c>
      <c r="D44" s="20"/>
      <c r="E44" s="24" t="n">
        <f aca="false">(E43-D43)/D43</f>
        <v>-0.0567385167681642</v>
      </c>
      <c r="F44" s="24" t="n">
        <f aca="false">(F43-E43)/E43</f>
        <v>-0.0035554637856478</v>
      </c>
      <c r="G44" s="24" t="n">
        <f aca="false">(G43-F43)/F43</f>
        <v>-0.00556249832478034</v>
      </c>
      <c r="H44" s="24" t="n">
        <f aca="false">(H43-G43)/G43</f>
        <v>0.0651587016345393</v>
      </c>
      <c r="I44" s="24" t="n">
        <f aca="false">(I43-H43)/H43</f>
        <v>-0.0522439820126448</v>
      </c>
      <c r="J44" s="24" t="n">
        <f aca="false">(J43-I43)/I43</f>
        <v>0.0116257029989567</v>
      </c>
      <c r="K44" s="24" t="n">
        <f aca="false">(K43-J43)/J43</f>
        <v>-0.0752862934706254</v>
      </c>
      <c r="L44" s="24" t="n">
        <f aca="false">(L43-K43)/K43</f>
        <v>0.076425195978222</v>
      </c>
      <c r="M44" s="24" t="n">
        <f aca="false">(M43-L43)/L43</f>
        <v>0.0965723682238205</v>
      </c>
      <c r="N44" s="24" t="n">
        <f aca="false">(N43-M43)/M43</f>
        <v>0.000155023811279269</v>
      </c>
      <c r="O44" s="24" t="n">
        <f aca="false">(O43-N43)/N43</f>
        <v>-0.00408068718174135</v>
      </c>
      <c r="P44" s="24" t="n">
        <f aca="false">(P43-O43)/O43</f>
        <v>-0.070698416946287</v>
      </c>
      <c r="Q44" s="24" t="n">
        <f aca="false">(Q43-P43)/P43</f>
        <v>0.0168315301052882</v>
      </c>
      <c r="R44" s="24" t="n">
        <f aca="false">(R43-Q43)/Q43</f>
        <v>-0.017632849135754</v>
      </c>
      <c r="S44" s="24" t="n">
        <f aca="false">(S43-R43)/R43</f>
        <v>0.000102695914463114</v>
      </c>
      <c r="T44" s="24" t="n">
        <f aca="false">(T43-S43)/S43</f>
        <v>-0.0131656449616259</v>
      </c>
      <c r="U44" s="24" t="n">
        <f aca="false">(U43-T43)/T43</f>
        <v>-0.0683635545331154</v>
      </c>
      <c r="V44" s="24" t="n">
        <f aca="false">(V43-U43)/U43</f>
        <v>-0.134959067843674</v>
      </c>
      <c r="W44" s="24" t="n">
        <f aca="false">(W43-V43)/V43</f>
        <v>-0.260075981497788</v>
      </c>
      <c r="X44" s="24" t="n">
        <f aca="false">(X43-W43)/W43</f>
        <v>-0.00845014982813551</v>
      </c>
      <c r="Y44" s="24" t="n">
        <f aca="false">(Y43-W43)/W43</f>
        <v>-0.0453255489660112</v>
      </c>
      <c r="Z44" s="24" t="n">
        <f aca="false">(Z43-X43)/X43</f>
        <v>-0.0496905958333846</v>
      </c>
      <c r="AA44" s="24" t="n">
        <f aca="false">(AA43-Y43)/Y43</f>
        <v>0.0093135602135959</v>
      </c>
      <c r="AB44" s="24" t="n">
        <f aca="false">(AB43-Y43)/Y43</f>
        <v>0.0093135602135959</v>
      </c>
      <c r="AC44" s="29" t="n">
        <f aca="false">(AC43-Y43)/Y43</f>
        <v>-0.0530487844646958</v>
      </c>
      <c r="AD44" s="29" t="n">
        <f aca="false">(AD43-Y43)/Y43</f>
        <v>-0.0983128269971123</v>
      </c>
      <c r="AE44" s="24" t="n">
        <f aca="false">(AE43-X43)/X43</f>
        <v>-0.1490899890836</v>
      </c>
      <c r="AF44" s="24" t="n">
        <f aca="false">(AF43-Y43)/Y43</f>
        <v>-1</v>
      </c>
    </row>
    <row r="45" customFormat="false" ht="15.75" hidden="false" customHeight="false" outlineLevel="0" collapsed="false">
      <c r="A45" s="4"/>
      <c r="B45" s="4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2"/>
      <c r="AD45" s="3"/>
      <c r="AE45" s="12"/>
      <c r="AF45" s="12"/>
    </row>
    <row r="46" customFormat="false" ht="15.75" hidden="false" customHeight="false" outlineLevel="0" collapsed="false">
      <c r="A46" s="4"/>
      <c r="B46" s="4"/>
      <c r="C46" s="12" t="s">
        <v>41</v>
      </c>
      <c r="D46" s="12" t="n">
        <f aca="false">90*8</f>
        <v>720</v>
      </c>
      <c r="E46" s="12" t="n">
        <v>720</v>
      </c>
      <c r="F46" s="12" t="n">
        <v>720</v>
      </c>
      <c r="G46" s="12" t="n">
        <v>720</v>
      </c>
      <c r="H46" s="12" t="n">
        <v>720</v>
      </c>
      <c r="I46" s="12" t="n">
        <v>720</v>
      </c>
      <c r="J46" s="12" t="n">
        <v>720</v>
      </c>
      <c r="K46" s="12" t="n">
        <v>720</v>
      </c>
      <c r="L46" s="12" t="n">
        <v>720</v>
      </c>
      <c r="M46" s="12" t="n">
        <v>720</v>
      </c>
      <c r="N46" s="12" t="n">
        <v>720</v>
      </c>
      <c r="O46" s="12" t="n">
        <v>720</v>
      </c>
      <c r="P46" s="12" t="n">
        <v>720</v>
      </c>
      <c r="Q46" s="12" t="n">
        <v>720</v>
      </c>
      <c r="R46" s="12" t="n">
        <v>720</v>
      </c>
      <c r="S46" s="12" t="n">
        <v>720</v>
      </c>
      <c r="T46" s="12" t="n">
        <v>720</v>
      </c>
      <c r="U46" s="12" t="n">
        <v>720</v>
      </c>
      <c r="V46" s="12" t="n">
        <v>720</v>
      </c>
      <c r="W46" s="12" t="n">
        <v>720</v>
      </c>
      <c r="X46" s="12" t="n">
        <v>720</v>
      </c>
      <c r="Y46" s="12" t="n">
        <v>720</v>
      </c>
      <c r="Z46" s="12" t="n">
        <v>720</v>
      </c>
      <c r="AA46" s="12" t="n">
        <v>720</v>
      </c>
      <c r="AB46" s="12" t="n">
        <v>720</v>
      </c>
      <c r="AC46" s="40" t="n">
        <v>720</v>
      </c>
      <c r="AD46" s="40" t="n">
        <v>720</v>
      </c>
      <c r="AE46" s="12" t="n">
        <v>720</v>
      </c>
      <c r="AF46" s="12" t="n">
        <v>720</v>
      </c>
    </row>
    <row r="47" customFormat="false" ht="15.75" hidden="false" customHeight="false" outlineLevel="0" collapsed="false">
      <c r="A47" s="4"/>
      <c r="B47" s="4"/>
      <c r="C47" s="20" t="s">
        <v>42</v>
      </c>
      <c r="D47" s="21" t="n">
        <f aca="false">D46*D4</f>
        <v>29052</v>
      </c>
      <c r="E47" s="21" t="n">
        <f aca="false">E46*E4</f>
        <v>28411.2</v>
      </c>
      <c r="F47" s="21" t="n">
        <f aca="false">F46*F4</f>
        <v>29613.6</v>
      </c>
      <c r="G47" s="21" t="n">
        <f aca="false">G46*G4</f>
        <v>29930.4</v>
      </c>
      <c r="H47" s="21" t="n">
        <f aca="false">H46*H4</f>
        <v>32652</v>
      </c>
      <c r="I47" s="21" t="n">
        <f aca="false">I46*I4</f>
        <v>35150.4</v>
      </c>
      <c r="J47" s="21" t="n">
        <f aca="false">J46*J4</f>
        <v>34963.2</v>
      </c>
      <c r="K47" s="21" t="n">
        <f aca="false">K46*K4</f>
        <v>37591.2</v>
      </c>
      <c r="L47" s="21" t="n">
        <f aca="false">L46*L4</f>
        <v>40996.8</v>
      </c>
      <c r="M47" s="21" t="n">
        <f aca="false">M46*M4</f>
        <v>44913.6</v>
      </c>
      <c r="N47" s="21" t="n">
        <f aca="false">N46*N4</f>
        <v>43617.6</v>
      </c>
      <c r="O47" s="21" t="n">
        <f aca="false">O46*O4</f>
        <v>40262.4</v>
      </c>
      <c r="P47" s="21" t="n">
        <f aca="false">P46*P4</f>
        <v>41371.2</v>
      </c>
      <c r="Q47" s="21" t="n">
        <f aca="false">Q46*Q4</f>
        <v>40960.8</v>
      </c>
      <c r="R47" s="21" t="n">
        <f aca="false">R46*R4</f>
        <v>42040.8</v>
      </c>
      <c r="S47" s="21" t="n">
        <f aca="false">S46*S4</f>
        <v>45511.2</v>
      </c>
      <c r="T47" s="21" t="n">
        <f aca="false">T46*T4</f>
        <v>40946.4</v>
      </c>
      <c r="U47" s="21" t="n">
        <f aca="false">U46*U4</f>
        <v>39232.8</v>
      </c>
      <c r="V47" s="21" t="n">
        <f aca="false">V46*V4</f>
        <v>42300</v>
      </c>
      <c r="W47" s="21" t="n">
        <f aca="false">W46*W4</f>
        <v>45921.6</v>
      </c>
      <c r="X47" s="21" t="n">
        <f aca="false">X46*X4</f>
        <v>44632.8</v>
      </c>
      <c r="Y47" s="21" t="n">
        <f aca="false">Y46*Y4</f>
        <v>53942.4</v>
      </c>
      <c r="Z47" s="21" t="n">
        <f aca="false">Z46*Z4</f>
        <v>56966.4</v>
      </c>
      <c r="AA47" s="21" t="n">
        <f aca="false">AA46*AA4</f>
        <v>61689.6</v>
      </c>
      <c r="AB47" s="21" t="n">
        <f aca="false">AB46*AB4</f>
        <v>69501.6</v>
      </c>
      <c r="AC47" s="26" t="n">
        <f aca="false">AC46*AC4</f>
        <v>77760</v>
      </c>
      <c r="AD47" s="26" t="n">
        <f aca="false">AD46*AD4</f>
        <v>95040</v>
      </c>
      <c r="AE47" s="21" t="n">
        <f aca="false">AE46*AE4</f>
        <v>95040</v>
      </c>
      <c r="AF47" s="21" t="n">
        <f aca="false">AF46*AF4</f>
        <v>0</v>
      </c>
    </row>
    <row r="48" customFormat="false" ht="15.75" hidden="false" customHeight="false" outlineLevel="0" collapsed="false">
      <c r="A48" s="4"/>
      <c r="B48" s="4"/>
      <c r="C48" s="12" t="s">
        <v>43</v>
      </c>
      <c r="D48" s="13" t="n">
        <v>300000</v>
      </c>
      <c r="E48" s="13" t="n">
        <v>300000</v>
      </c>
      <c r="F48" s="13" t="n">
        <v>300000</v>
      </c>
      <c r="G48" s="13" t="n">
        <v>300000</v>
      </c>
      <c r="H48" s="13" t="n">
        <v>300000</v>
      </c>
      <c r="I48" s="13" t="n">
        <v>300000</v>
      </c>
      <c r="J48" s="13" t="n">
        <v>300000</v>
      </c>
      <c r="K48" s="13" t="n">
        <v>300000</v>
      </c>
      <c r="L48" s="13" t="n">
        <v>300000</v>
      </c>
      <c r="M48" s="13" t="n">
        <v>300000</v>
      </c>
      <c r="N48" s="13" t="n">
        <v>300000</v>
      </c>
      <c r="O48" s="13" t="n">
        <v>300000</v>
      </c>
      <c r="P48" s="13" t="n">
        <v>300000</v>
      </c>
      <c r="Q48" s="13" t="n">
        <v>300000</v>
      </c>
      <c r="R48" s="13" t="n">
        <v>300000</v>
      </c>
      <c r="S48" s="13" t="n">
        <v>300000</v>
      </c>
      <c r="T48" s="13" t="n">
        <v>300000</v>
      </c>
      <c r="U48" s="13" t="n">
        <v>300000</v>
      </c>
      <c r="V48" s="13" t="n">
        <v>300000</v>
      </c>
      <c r="W48" s="13" t="n">
        <v>300000</v>
      </c>
      <c r="X48" s="13" t="n">
        <v>300000</v>
      </c>
      <c r="Y48" s="25" t="n">
        <v>0</v>
      </c>
      <c r="Z48" s="13" t="n">
        <v>0</v>
      </c>
      <c r="AA48" s="13" t="n">
        <v>0</v>
      </c>
      <c r="AB48" s="13" t="n">
        <v>0</v>
      </c>
      <c r="AC48" s="16" t="n">
        <v>0</v>
      </c>
      <c r="AD48" s="16" t="n">
        <v>0</v>
      </c>
      <c r="AE48" s="13" t="n">
        <v>0</v>
      </c>
      <c r="AF48" s="13" t="n">
        <v>0</v>
      </c>
    </row>
    <row r="49" customFormat="false" ht="15.75" hidden="false" customHeight="false" outlineLevel="0" collapsed="false">
      <c r="A49" s="4"/>
      <c r="B49" s="4"/>
      <c r="C49" s="12" t="s">
        <v>44</v>
      </c>
      <c r="D49" s="13"/>
      <c r="E49" s="13"/>
      <c r="F49" s="13"/>
      <c r="G49" s="13" t="n">
        <v>2000</v>
      </c>
      <c r="H49" s="13" t="n">
        <v>2000</v>
      </c>
      <c r="I49" s="13" t="n">
        <v>2000</v>
      </c>
      <c r="J49" s="13" t="n">
        <v>2000</v>
      </c>
      <c r="K49" s="13" t="n">
        <v>2000</v>
      </c>
      <c r="L49" s="13" t="n">
        <v>2000</v>
      </c>
      <c r="M49" s="13" t="n">
        <v>2000</v>
      </c>
      <c r="N49" s="13" t="n">
        <v>2000</v>
      </c>
      <c r="O49" s="13" t="n">
        <v>1000</v>
      </c>
      <c r="P49" s="13" t="n">
        <v>500</v>
      </c>
      <c r="Q49" s="13" t="n">
        <v>500</v>
      </c>
      <c r="R49" s="13" t="n">
        <v>0</v>
      </c>
      <c r="S49" s="13" t="n">
        <v>0</v>
      </c>
      <c r="T49" s="41"/>
      <c r="U49" s="41"/>
      <c r="V49" s="41"/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6" t="n">
        <v>0</v>
      </c>
      <c r="AD49" s="16" t="n">
        <v>0</v>
      </c>
      <c r="AE49" s="13" t="n">
        <v>0</v>
      </c>
      <c r="AF49" s="13" t="n">
        <v>0</v>
      </c>
    </row>
    <row r="50" customFormat="false" ht="15.75" hidden="false" customHeight="false" outlineLevel="0" collapsed="false">
      <c r="A50" s="4"/>
      <c r="B50" s="4"/>
      <c r="C50" s="12" t="s">
        <v>45</v>
      </c>
      <c r="D50" s="13"/>
      <c r="E50" s="13"/>
      <c r="F50" s="13"/>
      <c r="G50" s="13"/>
      <c r="H50" s="13"/>
      <c r="I50" s="13" t="n">
        <v>0</v>
      </c>
      <c r="J50" s="13" t="n">
        <v>0</v>
      </c>
      <c r="K50" s="13"/>
      <c r="L50" s="13" t="n">
        <v>0</v>
      </c>
      <c r="M50" s="13"/>
      <c r="N50" s="13"/>
      <c r="O50" s="41"/>
      <c r="P50" s="41"/>
      <c r="Q50" s="41"/>
      <c r="R50" s="41"/>
      <c r="S50" s="41"/>
      <c r="T50" s="41"/>
      <c r="U50" s="41"/>
      <c r="V50" s="41"/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</v>
      </c>
      <c r="AC50" s="16" t="n">
        <v>0</v>
      </c>
      <c r="AD50" s="16" t="n">
        <v>0</v>
      </c>
      <c r="AE50" s="13" t="n">
        <v>0</v>
      </c>
      <c r="AF50" s="13" t="n">
        <v>0</v>
      </c>
    </row>
    <row r="51" customFormat="false" ht="15.75" hidden="false" customHeight="false" outlineLevel="0" collapsed="false">
      <c r="A51" s="4"/>
      <c r="B51" s="4"/>
      <c r="C51" s="12" t="s">
        <v>46</v>
      </c>
      <c r="D51" s="13"/>
      <c r="E51" s="13"/>
      <c r="F51" s="13"/>
      <c r="G51" s="13" t="n">
        <v>0</v>
      </c>
      <c r="H51" s="13" t="n">
        <v>4006.98</v>
      </c>
      <c r="I51" s="13" t="n">
        <v>0</v>
      </c>
      <c r="J51" s="13" t="n">
        <v>0</v>
      </c>
      <c r="K51" s="13"/>
      <c r="L51" s="13" t="n">
        <v>0</v>
      </c>
      <c r="M51" s="13"/>
      <c r="N51" s="13"/>
      <c r="O51" s="41"/>
      <c r="P51" s="41"/>
      <c r="Q51" s="41"/>
      <c r="R51" s="41"/>
      <c r="S51" s="41"/>
      <c r="T51" s="41"/>
      <c r="U51" s="41"/>
      <c r="V51" s="41"/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6" t="n">
        <v>0</v>
      </c>
      <c r="AD51" s="16" t="n">
        <v>0</v>
      </c>
      <c r="AE51" s="13" t="n">
        <v>0</v>
      </c>
      <c r="AF51" s="13" t="n">
        <v>0</v>
      </c>
    </row>
    <row r="52" customFormat="false" ht="15.75" hidden="false" customHeight="false" outlineLevel="0" collapsed="false">
      <c r="A52" s="4"/>
      <c r="B52" s="4"/>
      <c r="C52" s="12" t="s">
        <v>47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41"/>
      <c r="P52" s="41"/>
      <c r="Q52" s="41"/>
      <c r="R52" s="41"/>
      <c r="S52" s="41"/>
      <c r="T52" s="13" t="n">
        <v>1394</v>
      </c>
      <c r="U52" s="13" t="n">
        <v>1394</v>
      </c>
      <c r="V52" s="13" t="n">
        <v>1394</v>
      </c>
      <c r="W52" s="13" t="n">
        <v>1394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6" t="n">
        <v>0</v>
      </c>
      <c r="AD52" s="16" t="n">
        <v>0</v>
      </c>
      <c r="AE52" s="13" t="n">
        <v>0</v>
      </c>
      <c r="AF52" s="13" t="n">
        <v>0</v>
      </c>
    </row>
    <row r="53" customFormat="false" ht="15.75" hidden="false" customHeight="false" outlineLevel="0" collapsed="false">
      <c r="A53" s="4"/>
      <c r="B53" s="4"/>
      <c r="C53" s="12" t="s">
        <v>48</v>
      </c>
      <c r="D53" s="13"/>
      <c r="E53" s="13"/>
      <c r="F53" s="13"/>
      <c r="G53" s="13" t="n">
        <v>0</v>
      </c>
      <c r="H53" s="13" t="n">
        <v>0</v>
      </c>
      <c r="I53" s="13" t="n">
        <v>0</v>
      </c>
      <c r="J53" s="13" t="n">
        <v>0</v>
      </c>
      <c r="K53" s="13"/>
      <c r="L53" s="13" t="n">
        <v>0</v>
      </c>
      <c r="M53" s="13"/>
      <c r="N53" s="13"/>
      <c r="O53" s="41"/>
      <c r="P53" s="41"/>
      <c r="Q53" s="41"/>
      <c r="R53" s="41"/>
      <c r="S53" s="41"/>
      <c r="T53" s="41"/>
      <c r="U53" s="41"/>
      <c r="V53" s="41"/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6" t="n">
        <v>0</v>
      </c>
      <c r="AD53" s="16" t="n">
        <v>0</v>
      </c>
      <c r="AE53" s="13" t="n">
        <v>0</v>
      </c>
      <c r="AF53" s="13" t="n">
        <v>0</v>
      </c>
    </row>
    <row r="54" customFormat="false" ht="15.75" hidden="false" customHeight="false" outlineLevel="0" collapsed="false">
      <c r="A54" s="4"/>
      <c r="B54" s="4"/>
      <c r="C54" s="42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14"/>
      <c r="AD54" s="15"/>
      <c r="AE54" s="41"/>
      <c r="AF54" s="41"/>
    </row>
    <row r="55" customFormat="false" ht="15.75" hidden="false" customHeight="false" outlineLevel="0" collapsed="false">
      <c r="A55" s="4"/>
      <c r="B55" s="4"/>
      <c r="C55" s="43" t="s">
        <v>49</v>
      </c>
      <c r="D55" s="44" t="n">
        <f aca="false">D18+D33+D43+SUM(D47:D53)</f>
        <v>495791.32815</v>
      </c>
      <c r="E55" s="44" t="n">
        <f aca="false">E18+E33+E43+SUM(E47:E53)</f>
        <v>505904.90094</v>
      </c>
      <c r="F55" s="44" t="n">
        <f aca="false">F18+F33+F43+SUM(F47:F53)</f>
        <v>513288.92494</v>
      </c>
      <c r="G55" s="44" t="n">
        <f aca="false">G18+G33+G43+SUM(G47:G53)</f>
        <v>529745.774</v>
      </c>
      <c r="H55" s="44" t="n">
        <f aca="false">H18+H33+H43+SUM(H47:H53)</f>
        <v>555458.24565</v>
      </c>
      <c r="I55" s="44" t="n">
        <f aca="false">I18+I33+I43+SUM(I47:I53)</f>
        <v>569323.15194</v>
      </c>
      <c r="J55" s="44" t="n">
        <f aca="false">J18+J33+J43+SUM(J47:J53)</f>
        <v>594106.956</v>
      </c>
      <c r="K55" s="44" t="n">
        <f aca="false">K18+K33+K43+SUM(K47:K53)</f>
        <v>558029.564</v>
      </c>
      <c r="L55" s="44" t="n">
        <f aca="false">L18+L33+L43+SUM(L47:L53)</f>
        <v>614796.413</v>
      </c>
      <c r="M55" s="44" t="n">
        <f aca="false">M18+M33+M43+SUM(M47:M53)</f>
        <v>658521.734</v>
      </c>
      <c r="N55" s="44" t="n">
        <f aca="false">N18+N33+N43+SUM(N47:N53)</f>
        <v>704081.552</v>
      </c>
      <c r="O55" s="44" t="n">
        <f aca="false">O18+O33+O43+SUM(O47:O53)</f>
        <v>747573.174</v>
      </c>
      <c r="P55" s="44" t="n">
        <f aca="false">P18+P33+P43+SUM(P47:P53)</f>
        <v>799352.45173</v>
      </c>
      <c r="Q55" s="44" t="n">
        <f aca="false">Q18+Q33+Q43+SUM(Q47:Q53)</f>
        <v>810210.187</v>
      </c>
      <c r="R55" s="44" t="n">
        <f aca="false">R18+R33+R43+SUM(R47:R53)</f>
        <v>834938.252</v>
      </c>
      <c r="S55" s="44" t="n">
        <f aca="false">S18+S33+S43+SUM(S47:S53)</f>
        <v>825820.117</v>
      </c>
      <c r="T55" s="44" t="n">
        <f aca="false">T18+T33+T43+SUM(T47:T53)</f>
        <v>830598.856</v>
      </c>
      <c r="U55" s="44" t="n">
        <f aca="false">U18+U33+U43+SUM(U47:U53)</f>
        <v>812098.42</v>
      </c>
      <c r="V55" s="44" t="n">
        <f aca="false">V18+V33+V43+SUM(V47:V53)</f>
        <v>861133.896</v>
      </c>
      <c r="W55" s="44" t="n">
        <f aca="false">W18+W33+W43+SUM(W47:W53)</f>
        <v>898327.818</v>
      </c>
      <c r="X55" s="44" t="n">
        <f aca="false">X18+X33+X43+SUM(X47:X53)</f>
        <v>889250.02</v>
      </c>
      <c r="Y55" s="44" t="n">
        <f aca="false">Y18+Y33+Y43+SUM(Y47:Y53)</f>
        <v>682446.942</v>
      </c>
      <c r="Z55" s="44" t="n">
        <f aca="false">Z18+Z33+Z43+SUM(Z47:Z53)</f>
        <v>728030.608</v>
      </c>
      <c r="AA55" s="44" t="n">
        <f aca="false">AA18+AA33+AA43+SUM(AA47:AA53)</f>
        <v>803984.38</v>
      </c>
      <c r="AB55" s="44" t="n">
        <f aca="false">AB18+AB33+AB43+SUM(AB47:AB53)</f>
        <v>849734.95</v>
      </c>
      <c r="AC55" s="45" t="n">
        <f aca="false">AC18+AC33+AC43+SUM(AC47:AC53)</f>
        <v>932930.752</v>
      </c>
      <c r="AD55" s="45" t="n">
        <f aca="false">AD18+AD33+AD43+SUM(AD47:AD53)</f>
        <v>1413466.554</v>
      </c>
      <c r="AE55" s="44" t="n">
        <f aca="false">AE18+AE33+AE43+SUM(AE47:AE53)</f>
        <v>1433457.754</v>
      </c>
      <c r="AF55" s="44" t="n">
        <f aca="false">AF18+AF33+AF43+SUM(AF47:AF53)</f>
        <v>0</v>
      </c>
    </row>
    <row r="56" customFormat="false" ht="15.75" hidden="false" customHeight="false" outlineLevel="0" collapsed="false">
      <c r="A56" s="4"/>
      <c r="B56" s="4"/>
      <c r="C56" s="43" t="s">
        <v>50</v>
      </c>
      <c r="D56" s="44" t="n">
        <f aca="false">D55/D5</f>
        <v>33052755.21</v>
      </c>
      <c r="E56" s="44" t="n">
        <f aca="false">E55/E5</f>
        <v>36136064.3528571</v>
      </c>
      <c r="F56" s="44" t="n">
        <f aca="false">F55/F5</f>
        <v>36663494.6385714</v>
      </c>
      <c r="G56" s="44" t="n">
        <f aca="false">G55/G5</f>
        <v>37838983.8571429</v>
      </c>
      <c r="H56" s="44" t="n">
        <f aca="false">H55/H5</f>
        <v>37030549.71</v>
      </c>
      <c r="I56" s="44" t="n">
        <f aca="false">I55/I5</f>
        <v>40665939.4242857</v>
      </c>
      <c r="J56" s="44" t="n">
        <f aca="false">J55/J5</f>
        <v>42436211.1428571</v>
      </c>
      <c r="K56" s="44" t="n">
        <f aca="false">K55/K5</f>
        <v>42925351.0769231</v>
      </c>
      <c r="L56" s="44" t="n">
        <f aca="false">L55/L5</f>
        <v>47292031.7692308</v>
      </c>
      <c r="M56" s="44" t="n">
        <f aca="false">M55/M5</f>
        <v>47037266.7142857</v>
      </c>
      <c r="N56" s="44" t="n">
        <f aca="false">N55/N5</f>
        <v>50291539.4285714</v>
      </c>
      <c r="O56" s="44" t="n">
        <f aca="false">O55/O5</f>
        <v>53398083.8571429</v>
      </c>
      <c r="P56" s="44" t="n">
        <f aca="false">P55/P5</f>
        <v>61488650.1330769</v>
      </c>
      <c r="Q56" s="44" t="n">
        <f aca="false">Q55/Q5</f>
        <v>62323860.5384615</v>
      </c>
      <c r="R56" s="44" t="n">
        <f aca="false">R55/R5</f>
        <v>64226019.3846154</v>
      </c>
      <c r="S56" s="44" t="n">
        <f aca="false">S55/S5</f>
        <v>63524624.3846154</v>
      </c>
      <c r="T56" s="44" t="n">
        <f aca="false">T55/T5</f>
        <v>63892219.6923077</v>
      </c>
      <c r="U56" s="44" t="n">
        <f aca="false">U55/U5</f>
        <v>67674868.3333333</v>
      </c>
      <c r="V56" s="44" t="n">
        <f aca="false">V55/V5</f>
        <v>71761158</v>
      </c>
      <c r="W56" s="44" t="n">
        <f aca="false">W55/W5</f>
        <v>74860651.5</v>
      </c>
      <c r="X56" s="44" t="n">
        <f aca="false">X55/X5</f>
        <v>74104168.3333333</v>
      </c>
      <c r="Y56" s="44" t="n">
        <f aca="false">Y55/Y5</f>
        <v>56870578.5</v>
      </c>
      <c r="Z56" s="44" t="n">
        <f aca="false">Z55/Z5</f>
        <v>60669217.3333333</v>
      </c>
      <c r="AA56" s="44" t="n">
        <f aca="false">AA55/AA5</f>
        <v>66998698.3333333</v>
      </c>
      <c r="AB56" s="44" t="n">
        <f aca="false">AB55/AB5</f>
        <v>70811245.8333333</v>
      </c>
      <c r="AC56" s="45" t="n">
        <f aca="false">AC55/AC5</f>
        <v>77744229.3333333</v>
      </c>
      <c r="AD56" s="46" t="n">
        <f aca="false">AD55/AD5</f>
        <v>128496959.454545</v>
      </c>
      <c r="AE56" s="44" t="n">
        <f aca="false">AE55/AE5</f>
        <v>130314341.272727</v>
      </c>
      <c r="AF56" s="44" t="e">
        <f aca="false">AF55/AF5</f>
        <v>#DIV/0!</v>
      </c>
    </row>
    <row r="57" customFormat="false" ht="15.75" hidden="false" customHeight="false" outlineLevel="0" collapsed="false">
      <c r="A57" s="4"/>
      <c r="B57" s="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2"/>
      <c r="AD57" s="3"/>
      <c r="AE57" s="12"/>
      <c r="AF57" s="12"/>
    </row>
    <row r="58" customFormat="false" ht="15.75" hidden="false" customHeight="false" outlineLevel="0" collapsed="false">
      <c r="A58" s="4"/>
      <c r="B58" s="11" t="s">
        <v>51</v>
      </c>
      <c r="C58" s="12" t="s">
        <v>52</v>
      </c>
      <c r="D58" s="47" t="n">
        <v>230902.51</v>
      </c>
      <c r="E58" s="47" t="n">
        <v>229790.4</v>
      </c>
      <c r="F58" s="47" t="n">
        <v>229042.6</v>
      </c>
      <c r="G58" s="47" t="n">
        <v>227911</v>
      </c>
      <c r="H58" s="47" t="n">
        <v>226768.17</v>
      </c>
      <c r="I58" s="47" t="n">
        <v>225618.28</v>
      </c>
      <c r="J58" s="47" t="n">
        <v>224446</v>
      </c>
      <c r="K58" s="47" t="n">
        <v>223662</v>
      </c>
      <c r="L58" s="47" t="n">
        <v>222374</v>
      </c>
      <c r="M58" s="47" t="n">
        <v>221076</v>
      </c>
      <c r="N58" s="47" t="n">
        <v>221000</v>
      </c>
      <c r="O58" s="47" t="n">
        <v>219731</v>
      </c>
      <c r="P58" s="47" t="n">
        <v>218304</v>
      </c>
      <c r="Q58" s="47" t="n">
        <v>216387</v>
      </c>
      <c r="R58" s="47" t="n">
        <v>215422</v>
      </c>
      <c r="S58" s="47" t="n">
        <v>213965</v>
      </c>
      <c r="T58" s="47" t="n">
        <v>211516</v>
      </c>
      <c r="U58" s="47" t="n">
        <v>210528</v>
      </c>
      <c r="V58" s="47" t="n">
        <v>209536</v>
      </c>
      <c r="W58" s="47" t="n">
        <v>208039</v>
      </c>
      <c r="X58" s="47" t="n">
        <v>205521</v>
      </c>
      <c r="Y58" s="47" t="n">
        <v>0</v>
      </c>
      <c r="Z58" s="47" t="n">
        <v>0</v>
      </c>
      <c r="AA58" s="47" t="n">
        <v>0</v>
      </c>
      <c r="AB58" s="47" t="n">
        <v>0</v>
      </c>
      <c r="AC58" s="47" t="n">
        <v>0</v>
      </c>
      <c r="AD58" s="47" t="n">
        <v>0</v>
      </c>
      <c r="AE58" s="47" t="n">
        <v>0</v>
      </c>
      <c r="AF58" s="47" t="n">
        <v>0</v>
      </c>
    </row>
    <row r="59" customFormat="false" ht="15.75" hidden="false" customHeight="false" outlineLevel="0" collapsed="false">
      <c r="A59" s="4"/>
      <c r="B59" s="4"/>
      <c r="C59" s="12" t="s">
        <v>53</v>
      </c>
      <c r="D59" s="13" t="n">
        <v>6020</v>
      </c>
      <c r="E59" s="13" t="n">
        <v>5056.8</v>
      </c>
      <c r="F59" s="13" t="n">
        <v>4575.2</v>
      </c>
      <c r="G59" s="13" t="n">
        <v>3852.8</v>
      </c>
      <c r="H59" s="13" t="n">
        <v>3130.4</v>
      </c>
      <c r="I59" s="13" t="n">
        <v>2408</v>
      </c>
      <c r="J59" s="13" t="n">
        <v>1685.6</v>
      </c>
      <c r="K59" s="13" t="n">
        <v>663.2</v>
      </c>
      <c r="L59" s="13" t="n">
        <v>240.8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0</v>
      </c>
      <c r="AB59" s="13" t="n">
        <v>0</v>
      </c>
      <c r="AC59" s="16" t="n">
        <v>0</v>
      </c>
      <c r="AD59" s="16" t="n">
        <v>0</v>
      </c>
      <c r="AE59" s="13" t="n">
        <v>0</v>
      </c>
      <c r="AF59" s="13" t="n">
        <v>0</v>
      </c>
    </row>
    <row r="60" customFormat="false" ht="15.75" hidden="false" customHeight="false" outlineLevel="0" collapsed="false">
      <c r="C60" s="4" t="s">
        <v>54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 t="n">
        <v>37000</v>
      </c>
      <c r="X60" s="30" t="n">
        <v>31015</v>
      </c>
      <c r="Y60" s="30" t="n">
        <v>25763</v>
      </c>
      <c r="Z60" s="30" t="n">
        <v>22571</v>
      </c>
      <c r="AA60" s="30" t="n">
        <v>0</v>
      </c>
      <c r="AB60" s="30" t="n">
        <v>0</v>
      </c>
      <c r="AC60" s="48" t="n">
        <v>0</v>
      </c>
      <c r="AD60" s="48" t="n">
        <v>0</v>
      </c>
      <c r="AE60" s="30" t="n">
        <v>0</v>
      </c>
      <c r="AF60" s="30" t="n">
        <v>0</v>
      </c>
    </row>
    <row r="61" customFormat="false" ht="15.75" hidden="false" customHeight="false" outlineLevel="0" collapsed="false">
      <c r="C61" s="4" t="s">
        <v>55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 t="n">
        <v>28275</v>
      </c>
      <c r="X61" s="30" t="n">
        <v>0</v>
      </c>
      <c r="Y61" s="30"/>
      <c r="Z61" s="30" t="n">
        <v>0</v>
      </c>
      <c r="AA61" s="30" t="n">
        <v>0</v>
      </c>
      <c r="AB61" s="30" t="n">
        <v>0</v>
      </c>
      <c r="AC61" s="48" t="n">
        <v>0</v>
      </c>
      <c r="AD61" s="48" t="n">
        <v>0</v>
      </c>
      <c r="AE61" s="30" t="n">
        <v>0</v>
      </c>
      <c r="AF61" s="30" t="n">
        <v>0</v>
      </c>
    </row>
    <row r="62" customFormat="false" ht="15.75" hidden="false" customHeight="false" outlineLevel="0" collapsed="false">
      <c r="C62" s="4" t="s">
        <v>56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 t="n">
        <v>5200</v>
      </c>
      <c r="X62" s="30" t="n">
        <v>0</v>
      </c>
      <c r="Y62" s="30"/>
      <c r="Z62" s="30" t="n">
        <v>0</v>
      </c>
      <c r="AA62" s="30" t="n">
        <v>0</v>
      </c>
      <c r="AB62" s="30" t="n">
        <v>0</v>
      </c>
      <c r="AC62" s="48" t="n">
        <v>0</v>
      </c>
      <c r="AD62" s="48" t="n">
        <v>0</v>
      </c>
      <c r="AE62" s="30" t="n">
        <v>0</v>
      </c>
      <c r="AF62" s="30" t="n">
        <v>0</v>
      </c>
    </row>
    <row r="63" customFormat="false" ht="15.75" hidden="false" customHeight="false" outlineLevel="0" collapsed="false">
      <c r="C63" s="4" t="s">
        <v>57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 t="n">
        <v>18000</v>
      </c>
      <c r="Q63" s="30" t="n">
        <v>8000</v>
      </c>
      <c r="R63" s="30" t="n">
        <v>10000</v>
      </c>
      <c r="S63" s="30" t="n">
        <v>10000</v>
      </c>
      <c r="T63" s="30" t="n">
        <v>10000</v>
      </c>
      <c r="U63" s="30" t="n">
        <f aca="false">10000+50000</f>
        <v>60000</v>
      </c>
      <c r="V63" s="30" t="n">
        <v>60000</v>
      </c>
      <c r="W63" s="30" t="n">
        <v>0</v>
      </c>
      <c r="X63" s="30" t="n">
        <v>0</v>
      </c>
      <c r="Y63" s="30" t="n">
        <v>0</v>
      </c>
      <c r="Z63" s="30" t="n">
        <v>0</v>
      </c>
      <c r="AA63" s="30" t="n">
        <v>0</v>
      </c>
      <c r="AB63" s="30" t="n">
        <v>5000</v>
      </c>
      <c r="AC63" s="48" t="n">
        <v>0</v>
      </c>
      <c r="AD63" s="48" t="n">
        <v>0</v>
      </c>
      <c r="AE63" s="30" t="n">
        <v>5000</v>
      </c>
      <c r="AF63" s="30" t="n">
        <v>0</v>
      </c>
    </row>
    <row r="64" customFormat="false" ht="15.75" hidden="false" customHeight="false" outlineLevel="0" collapsed="false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2"/>
      <c r="AD64" s="3"/>
      <c r="AE64" s="4"/>
      <c r="AF64" s="4"/>
    </row>
    <row r="65" customFormat="false" ht="15.75" hidden="false" customHeight="false" outlineLevel="0" collapsed="false">
      <c r="C65" s="43" t="s">
        <v>58</v>
      </c>
      <c r="D65" s="44" t="n">
        <f aca="false">SUM(D58:D63)</f>
        <v>236922.51</v>
      </c>
      <c r="E65" s="44" t="n">
        <f aca="false">SUM(E58:E63)</f>
        <v>234847.2</v>
      </c>
      <c r="F65" s="44" t="n">
        <f aca="false">SUM(F58:F63)</f>
        <v>233617.8</v>
      </c>
      <c r="G65" s="44" t="n">
        <f aca="false">SUM(G58:G63)</f>
        <v>231763.8</v>
      </c>
      <c r="H65" s="44" t="n">
        <f aca="false">SUM(H58:H63)</f>
        <v>229898.57</v>
      </c>
      <c r="I65" s="44" t="n">
        <f aca="false">SUM(I58:I63)</f>
        <v>228026.28</v>
      </c>
      <c r="J65" s="44" t="n">
        <f aca="false">SUM(J58:J63)</f>
        <v>226131.6</v>
      </c>
      <c r="K65" s="44" t="n">
        <f aca="false">SUM(K58:K63)</f>
        <v>224325.2</v>
      </c>
      <c r="L65" s="44" t="n">
        <f aca="false">SUM(L58:L63)</f>
        <v>222614.8</v>
      </c>
      <c r="M65" s="44" t="n">
        <f aca="false">SUM(M58:M63)</f>
        <v>221076</v>
      </c>
      <c r="N65" s="44" t="n">
        <f aca="false">SUM(N58:N63)</f>
        <v>221000</v>
      </c>
      <c r="O65" s="44" t="n">
        <f aca="false">SUM(O58:O63)</f>
        <v>219731</v>
      </c>
      <c r="P65" s="44" t="n">
        <f aca="false">SUM(P58:P63)</f>
        <v>236304</v>
      </c>
      <c r="Q65" s="44" t="n">
        <f aca="false">SUM(Q58:Q63)</f>
        <v>224387</v>
      </c>
      <c r="R65" s="44" t="n">
        <f aca="false">SUM(R58:R63)</f>
        <v>225422</v>
      </c>
      <c r="S65" s="44" t="n">
        <f aca="false">SUM(S58:S63)</f>
        <v>223965</v>
      </c>
      <c r="T65" s="44" t="n">
        <f aca="false">SUM(T58:T63)</f>
        <v>221516</v>
      </c>
      <c r="U65" s="44" t="n">
        <f aca="false">SUM(U58:U63)</f>
        <v>270528</v>
      </c>
      <c r="V65" s="44" t="n">
        <f aca="false">SUM(V58:V63)</f>
        <v>269536</v>
      </c>
      <c r="W65" s="44" t="n">
        <f aca="false">SUM(W58:W63)</f>
        <v>278514</v>
      </c>
      <c r="X65" s="44" t="n">
        <f aca="false">SUM(X58:X63)</f>
        <v>236536</v>
      </c>
      <c r="Y65" s="44" t="n">
        <f aca="false">SUM(Y58:Y63)</f>
        <v>25763</v>
      </c>
      <c r="Z65" s="44" t="n">
        <f aca="false">SUM(Z58:Z63)</f>
        <v>22571</v>
      </c>
      <c r="AA65" s="44" t="n">
        <f aca="false">SUM(AA58:AA63)</f>
        <v>0</v>
      </c>
      <c r="AB65" s="44" t="n">
        <f aca="false">SUM(AB58:AB63)</f>
        <v>5000</v>
      </c>
      <c r="AC65" s="45" t="n">
        <f aca="false">SUM(AC58:AC63)</f>
        <v>0</v>
      </c>
      <c r="AD65" s="45" t="n">
        <f aca="false">SUM(AD58:AD63)</f>
        <v>0</v>
      </c>
      <c r="AE65" s="44" t="n">
        <f aca="false">SUM(AE58:AE63)</f>
        <v>5000</v>
      </c>
      <c r="AF65" s="44" t="n">
        <f aca="false">SUM(AF58:AF63)</f>
        <v>0</v>
      </c>
    </row>
    <row r="66" customFormat="false" ht="15.75" hidden="false" customHeight="false" outlineLevel="0" collapsed="false">
      <c r="C66" s="43" t="s">
        <v>59</v>
      </c>
      <c r="D66" s="49" t="n">
        <f aca="false">D65/D5</f>
        <v>15794834</v>
      </c>
      <c r="E66" s="44" t="n">
        <f aca="false">E65/E5</f>
        <v>16774800</v>
      </c>
      <c r="F66" s="44" t="n">
        <f aca="false">F65/F5</f>
        <v>16686985.7142857</v>
      </c>
      <c r="G66" s="44" t="n">
        <f aca="false">G65/G5</f>
        <v>16554557.1428571</v>
      </c>
      <c r="H66" s="44" t="n">
        <f aca="false">H65/H5</f>
        <v>15326571.3333333</v>
      </c>
      <c r="I66" s="44" t="n">
        <f aca="false">I65/I5</f>
        <v>16287591.4285714</v>
      </c>
      <c r="J66" s="44" t="n">
        <f aca="false">J65/J5</f>
        <v>16152257.1428571</v>
      </c>
      <c r="K66" s="44" t="n">
        <f aca="false">K65/K5</f>
        <v>17255784.6153846</v>
      </c>
      <c r="L66" s="49" t="n">
        <f aca="false">L65/L5</f>
        <v>17124215.3846154</v>
      </c>
      <c r="M66" s="49" t="n">
        <f aca="false">M65/M5</f>
        <v>15791142.8571429</v>
      </c>
      <c r="N66" s="49" t="n">
        <f aca="false">N65/N5</f>
        <v>15785714.2857143</v>
      </c>
      <c r="O66" s="49" t="n">
        <f aca="false">O65/O5</f>
        <v>15695071.4285714</v>
      </c>
      <c r="P66" s="49" t="n">
        <f aca="false">P65/P5</f>
        <v>18177230.7692308</v>
      </c>
      <c r="Q66" s="49" t="n">
        <f aca="false">Q65/Q5</f>
        <v>17260538.4615385</v>
      </c>
      <c r="R66" s="49" t="n">
        <f aca="false">R65/R5</f>
        <v>17340153.8461538</v>
      </c>
      <c r="S66" s="49" t="n">
        <f aca="false">S65/S5</f>
        <v>17228076.9230769</v>
      </c>
      <c r="T66" s="49" t="n">
        <f aca="false">T65/T5</f>
        <v>17039692.3076923</v>
      </c>
      <c r="U66" s="49" t="n">
        <f aca="false">U65/U5</f>
        <v>22544000</v>
      </c>
      <c r="V66" s="49" t="n">
        <f aca="false">V65/V5</f>
        <v>22461333.3333333</v>
      </c>
      <c r="W66" s="49" t="n">
        <f aca="false">W65/W5</f>
        <v>23209500</v>
      </c>
      <c r="X66" s="49" t="n">
        <f aca="false">X65/X5</f>
        <v>19711333.3333333</v>
      </c>
      <c r="Y66" s="49" t="n">
        <f aca="false">Y65/Y5</f>
        <v>2146916.66666667</v>
      </c>
      <c r="Z66" s="49" t="n">
        <f aca="false">Z65/Z5</f>
        <v>1880916.66666667</v>
      </c>
      <c r="AA66" s="49" t="n">
        <f aca="false">AA65/AA5</f>
        <v>0</v>
      </c>
      <c r="AB66" s="49" t="n">
        <f aca="false">AB65/AB5</f>
        <v>416666.666666667</v>
      </c>
      <c r="AC66" s="50" t="n">
        <f aca="false">AC65/AC5</f>
        <v>0</v>
      </c>
      <c r="AD66" s="51" t="n">
        <f aca="false">AD65/AD5</f>
        <v>0</v>
      </c>
      <c r="AE66" s="49" t="n">
        <f aca="false">AE65/AE5</f>
        <v>454545.454545455</v>
      </c>
      <c r="AF66" s="49" t="e">
        <f aca="false">AF65/AF5</f>
        <v>#DIV/0!</v>
      </c>
    </row>
    <row r="67" customFormat="false" ht="15.75" hidden="false" customHeight="false" outlineLevel="0" collapsed="false">
      <c r="AC67" s="2"/>
      <c r="AD67" s="3"/>
    </row>
    <row r="68" customFormat="false" ht="15.75" hidden="false" customHeight="false" outlineLevel="0" collapsed="false">
      <c r="AC68" s="2"/>
      <c r="AD68" s="3"/>
    </row>
    <row r="69" customFormat="false" ht="15.75" hidden="false" customHeight="false" outlineLevel="0" collapsed="false">
      <c r="AC69" s="2"/>
      <c r="AD69" s="3"/>
    </row>
    <row r="70" customFormat="false" ht="15.75" hidden="false" customHeight="false" outlineLevel="0" collapsed="false">
      <c r="B70" s="38"/>
      <c r="W70" s="38" t="n">
        <v>10000</v>
      </c>
      <c r="X70" s="38" t="n">
        <v>10000</v>
      </c>
      <c r="AC70" s="2"/>
      <c r="AD70" s="3"/>
    </row>
    <row r="71" customFormat="false" ht="15.75" hidden="false" customHeight="false" outlineLevel="0" collapsed="false">
      <c r="AC71" s="2"/>
      <c r="AD71" s="3"/>
    </row>
    <row r="72" customFormat="false" ht="15.75" hidden="false" customHeight="false" outlineLevel="0" collapsed="false">
      <c r="AC72" s="2"/>
      <c r="AD72" s="3"/>
    </row>
    <row r="73" customFormat="false" ht="15.75" hidden="false" customHeight="false" outlineLevel="0" collapsed="false">
      <c r="AC73" s="2"/>
      <c r="AD73" s="3"/>
    </row>
    <row r="74" customFormat="false" ht="15.75" hidden="false" customHeight="false" outlineLevel="0" collapsed="false">
      <c r="AC74" s="2"/>
      <c r="AD74" s="3"/>
    </row>
    <row r="75" customFormat="false" ht="15.75" hidden="false" customHeight="false" outlineLevel="0" collapsed="false">
      <c r="AC75" s="2"/>
      <c r="AD75" s="3"/>
    </row>
    <row r="76" customFormat="false" ht="15.75" hidden="false" customHeight="false" outlineLevel="0" collapsed="false">
      <c r="AC76" s="2"/>
      <c r="AD76" s="3"/>
    </row>
    <row r="77" customFormat="false" ht="15.75" hidden="false" customHeight="false" outlineLevel="0" collapsed="false">
      <c r="AC77" s="2"/>
      <c r="AD77" s="3"/>
    </row>
    <row r="78" customFormat="false" ht="15.75" hidden="false" customHeight="false" outlineLevel="0" collapsed="false">
      <c r="AC78" s="2"/>
      <c r="AD78" s="3"/>
    </row>
    <row r="79" customFormat="false" ht="15.75" hidden="false" customHeight="false" outlineLevel="0" collapsed="false">
      <c r="AC79" s="2"/>
      <c r="AD79" s="3"/>
    </row>
    <row r="80" customFormat="false" ht="15.75" hidden="false" customHeight="false" outlineLevel="0" collapsed="false">
      <c r="AC80" s="2"/>
      <c r="AD80" s="3"/>
    </row>
    <row r="81" customFormat="false" ht="15.75" hidden="false" customHeight="false" outlineLevel="0" collapsed="false">
      <c r="AC81" s="2"/>
      <c r="AD81" s="3"/>
    </row>
    <row r="82" customFormat="false" ht="15.75" hidden="false" customHeight="false" outlineLevel="0" collapsed="false">
      <c r="AC82" s="2"/>
      <c r="AD82" s="3"/>
    </row>
    <row r="83" customFormat="false" ht="15.75" hidden="false" customHeight="false" outlineLevel="0" collapsed="false">
      <c r="AC83" s="2"/>
      <c r="AD83" s="3"/>
    </row>
    <row r="84" customFormat="false" ht="15.75" hidden="false" customHeight="false" outlineLevel="0" collapsed="false">
      <c r="AC84" s="2"/>
      <c r="AD84" s="3"/>
    </row>
    <row r="85" customFormat="false" ht="15.75" hidden="false" customHeight="false" outlineLevel="0" collapsed="false">
      <c r="AC85" s="2"/>
      <c r="AD85" s="3"/>
    </row>
    <row r="86" customFormat="false" ht="15.75" hidden="false" customHeight="false" outlineLevel="0" collapsed="false">
      <c r="AC86" s="2"/>
      <c r="AD86" s="3"/>
    </row>
    <row r="87" customFormat="false" ht="15.75" hidden="false" customHeight="false" outlineLevel="0" collapsed="false">
      <c r="AC87" s="2"/>
      <c r="AD87" s="3"/>
    </row>
    <row r="88" customFormat="false" ht="15.75" hidden="false" customHeight="false" outlineLevel="0" collapsed="false">
      <c r="AC88" s="2"/>
      <c r="AD88" s="3"/>
    </row>
    <row r="89" customFormat="false" ht="15.75" hidden="false" customHeight="false" outlineLevel="0" collapsed="false">
      <c r="AC89" s="2"/>
      <c r="AD89" s="3"/>
    </row>
    <row r="90" customFormat="false" ht="15.75" hidden="false" customHeight="false" outlineLevel="0" collapsed="false">
      <c r="AC90" s="2"/>
      <c r="AD90" s="3"/>
    </row>
    <row r="91" customFormat="false" ht="15.75" hidden="false" customHeight="false" outlineLevel="0" collapsed="false">
      <c r="AC91" s="2"/>
      <c r="AD91" s="3"/>
    </row>
    <row r="92" customFormat="false" ht="15.75" hidden="false" customHeight="false" outlineLevel="0" collapsed="false">
      <c r="AC92" s="2"/>
      <c r="AD92" s="3"/>
    </row>
    <row r="93" customFormat="false" ht="15.75" hidden="false" customHeight="false" outlineLevel="0" collapsed="false">
      <c r="AC93" s="2"/>
      <c r="AD93" s="3"/>
    </row>
    <row r="94" customFormat="false" ht="15.75" hidden="false" customHeight="false" outlineLevel="0" collapsed="false">
      <c r="AC94" s="2"/>
      <c r="AD94" s="3"/>
    </row>
    <row r="95" customFormat="false" ht="15.75" hidden="false" customHeight="false" outlineLevel="0" collapsed="false">
      <c r="AC95" s="2"/>
      <c r="AD95" s="3"/>
    </row>
    <row r="96" customFormat="false" ht="15.75" hidden="false" customHeight="false" outlineLevel="0" collapsed="false">
      <c r="AC96" s="2"/>
      <c r="AD96" s="3"/>
    </row>
    <row r="97" customFormat="false" ht="15.75" hidden="false" customHeight="false" outlineLevel="0" collapsed="false">
      <c r="AC97" s="2"/>
      <c r="AD97" s="3"/>
    </row>
    <row r="98" customFormat="false" ht="15.75" hidden="false" customHeight="false" outlineLevel="0" collapsed="false">
      <c r="AC98" s="2"/>
      <c r="AD98" s="3"/>
    </row>
    <row r="99" customFormat="false" ht="15.75" hidden="false" customHeight="false" outlineLevel="0" collapsed="false">
      <c r="AC99" s="2"/>
      <c r="AD99" s="3"/>
    </row>
    <row r="100" customFormat="false" ht="15.75" hidden="false" customHeight="false" outlineLevel="0" collapsed="false">
      <c r="AC100" s="2"/>
      <c r="AD100" s="3"/>
    </row>
    <row r="101" customFormat="false" ht="15.75" hidden="false" customHeight="false" outlineLevel="0" collapsed="false">
      <c r="AC101" s="2"/>
      <c r="AD101" s="3"/>
    </row>
    <row r="102" customFormat="false" ht="15.75" hidden="false" customHeight="false" outlineLevel="0" collapsed="false">
      <c r="AC102" s="2"/>
      <c r="AD102" s="3"/>
    </row>
    <row r="103" customFormat="false" ht="15.75" hidden="false" customHeight="false" outlineLevel="0" collapsed="false">
      <c r="AC103" s="2"/>
      <c r="AD103" s="3"/>
    </row>
    <row r="104" customFormat="false" ht="15.75" hidden="false" customHeight="false" outlineLevel="0" collapsed="false">
      <c r="AC104" s="2"/>
      <c r="AD104" s="3"/>
    </row>
    <row r="105" customFormat="false" ht="15.75" hidden="false" customHeight="false" outlineLevel="0" collapsed="false">
      <c r="AC105" s="2"/>
      <c r="AD105" s="3"/>
    </row>
    <row r="106" customFormat="false" ht="15.75" hidden="false" customHeight="false" outlineLevel="0" collapsed="false">
      <c r="AC106" s="2"/>
      <c r="AD106" s="3"/>
    </row>
    <row r="107" customFormat="false" ht="15.75" hidden="false" customHeight="false" outlineLevel="0" collapsed="false">
      <c r="AC107" s="2"/>
      <c r="AD107" s="3"/>
    </row>
    <row r="108" customFormat="false" ht="15.75" hidden="false" customHeight="false" outlineLevel="0" collapsed="false">
      <c r="AC108" s="2"/>
      <c r="AD108" s="3"/>
    </row>
    <row r="109" customFormat="false" ht="15.75" hidden="false" customHeight="false" outlineLevel="0" collapsed="false">
      <c r="AC109" s="2"/>
      <c r="AD109" s="3"/>
    </row>
    <row r="110" customFormat="false" ht="15.75" hidden="false" customHeight="false" outlineLevel="0" collapsed="false">
      <c r="AC110" s="2"/>
      <c r="AD110" s="3"/>
    </row>
    <row r="111" customFormat="false" ht="15.75" hidden="false" customHeight="false" outlineLevel="0" collapsed="false">
      <c r="AC111" s="2"/>
      <c r="AD111" s="3"/>
    </row>
    <row r="112" customFormat="false" ht="15.75" hidden="false" customHeight="false" outlineLevel="0" collapsed="false">
      <c r="AC112" s="2"/>
      <c r="AD112" s="3"/>
    </row>
    <row r="113" customFormat="false" ht="15.75" hidden="false" customHeight="false" outlineLevel="0" collapsed="false">
      <c r="AC113" s="2"/>
      <c r="AD113" s="3"/>
    </row>
    <row r="114" customFormat="false" ht="15.75" hidden="false" customHeight="false" outlineLevel="0" collapsed="false">
      <c r="AC114" s="2"/>
      <c r="AD114" s="3"/>
    </row>
    <row r="115" customFormat="false" ht="15.75" hidden="false" customHeight="false" outlineLevel="0" collapsed="false">
      <c r="AC115" s="2"/>
      <c r="AD115" s="3"/>
    </row>
    <row r="116" customFormat="false" ht="15.75" hidden="false" customHeight="false" outlineLevel="0" collapsed="false">
      <c r="AC116" s="2"/>
      <c r="AD116" s="3"/>
    </row>
    <row r="117" customFormat="false" ht="15.75" hidden="false" customHeight="false" outlineLevel="0" collapsed="false">
      <c r="AC117" s="2"/>
      <c r="AD117" s="3"/>
    </row>
    <row r="118" customFormat="false" ht="15.75" hidden="false" customHeight="false" outlineLevel="0" collapsed="false">
      <c r="AC118" s="2"/>
      <c r="AD118" s="3"/>
    </row>
    <row r="119" customFormat="false" ht="15.75" hidden="false" customHeight="false" outlineLevel="0" collapsed="false">
      <c r="AC119" s="2"/>
      <c r="AD119" s="3"/>
    </row>
    <row r="120" customFormat="false" ht="15.75" hidden="false" customHeight="false" outlineLevel="0" collapsed="false">
      <c r="AC120" s="2"/>
      <c r="AD120" s="3"/>
    </row>
    <row r="121" customFormat="false" ht="15.75" hidden="false" customHeight="false" outlineLevel="0" collapsed="false">
      <c r="AC121" s="2"/>
      <c r="AD121" s="3"/>
    </row>
    <row r="122" customFormat="false" ht="15.75" hidden="false" customHeight="false" outlineLevel="0" collapsed="false">
      <c r="AC122" s="2"/>
      <c r="AD122" s="3"/>
    </row>
    <row r="123" customFormat="false" ht="15.75" hidden="false" customHeight="false" outlineLevel="0" collapsed="false">
      <c r="AC123" s="2"/>
      <c r="AD123" s="3"/>
    </row>
    <row r="124" customFormat="false" ht="15.75" hidden="false" customHeight="false" outlineLevel="0" collapsed="false">
      <c r="AC124" s="2"/>
      <c r="AD124" s="3"/>
    </row>
    <row r="125" customFormat="false" ht="15.75" hidden="false" customHeight="false" outlineLevel="0" collapsed="false">
      <c r="AC125" s="2"/>
      <c r="AD125" s="3"/>
    </row>
    <row r="126" customFormat="false" ht="15.75" hidden="false" customHeight="false" outlineLevel="0" collapsed="false">
      <c r="AC126" s="2"/>
      <c r="AD126" s="3"/>
    </row>
    <row r="127" customFormat="false" ht="15.75" hidden="false" customHeight="false" outlineLevel="0" collapsed="false">
      <c r="AC127" s="2"/>
      <c r="AD127" s="3"/>
    </row>
    <row r="128" customFormat="false" ht="15.75" hidden="false" customHeight="false" outlineLevel="0" collapsed="false">
      <c r="AC128" s="2"/>
      <c r="AD128" s="3"/>
    </row>
    <row r="129" customFormat="false" ht="15.75" hidden="false" customHeight="false" outlineLevel="0" collapsed="false">
      <c r="AC129" s="2"/>
      <c r="AD129" s="3"/>
    </row>
    <row r="130" customFormat="false" ht="15.75" hidden="false" customHeight="false" outlineLevel="0" collapsed="false">
      <c r="AC130" s="2"/>
      <c r="AD130" s="3"/>
    </row>
    <row r="131" customFormat="false" ht="15.75" hidden="false" customHeight="false" outlineLevel="0" collapsed="false">
      <c r="AC131" s="2"/>
      <c r="AD131" s="3"/>
    </row>
    <row r="132" customFormat="false" ht="15.75" hidden="false" customHeight="false" outlineLevel="0" collapsed="false">
      <c r="AC132" s="2"/>
      <c r="AD132" s="3"/>
    </row>
    <row r="133" customFormat="false" ht="15.75" hidden="false" customHeight="false" outlineLevel="0" collapsed="false">
      <c r="AC133" s="2"/>
      <c r="AD133" s="3"/>
    </row>
    <row r="134" customFormat="false" ht="15.75" hidden="false" customHeight="false" outlineLevel="0" collapsed="false">
      <c r="AC134" s="2"/>
      <c r="AD134" s="3"/>
    </row>
    <row r="135" customFormat="false" ht="15.75" hidden="false" customHeight="false" outlineLevel="0" collapsed="false">
      <c r="AC135" s="2"/>
      <c r="AD135" s="3"/>
    </row>
    <row r="136" customFormat="false" ht="15.75" hidden="false" customHeight="false" outlineLevel="0" collapsed="false">
      <c r="AC136" s="2"/>
      <c r="AD136" s="3"/>
    </row>
    <row r="137" customFormat="false" ht="15.75" hidden="false" customHeight="false" outlineLevel="0" collapsed="false">
      <c r="AC137" s="2"/>
      <c r="AD137" s="3"/>
    </row>
    <row r="138" customFormat="false" ht="15.75" hidden="false" customHeight="false" outlineLevel="0" collapsed="false">
      <c r="AC138" s="2"/>
      <c r="AD138" s="3"/>
    </row>
    <row r="139" customFormat="false" ht="15.75" hidden="false" customHeight="false" outlineLevel="0" collapsed="false">
      <c r="AC139" s="2"/>
      <c r="AD139" s="3"/>
    </row>
    <row r="140" customFormat="false" ht="15.75" hidden="false" customHeight="false" outlineLevel="0" collapsed="false">
      <c r="AC140" s="2"/>
      <c r="AD140" s="3"/>
    </row>
    <row r="141" customFormat="false" ht="15.75" hidden="false" customHeight="false" outlineLevel="0" collapsed="false">
      <c r="AC141" s="2"/>
      <c r="AD141" s="3"/>
    </row>
    <row r="142" customFormat="false" ht="15.75" hidden="false" customHeight="false" outlineLevel="0" collapsed="false">
      <c r="AC142" s="2"/>
      <c r="AD142" s="3"/>
    </row>
    <row r="143" customFormat="false" ht="15.75" hidden="false" customHeight="false" outlineLevel="0" collapsed="false">
      <c r="AC143" s="2"/>
      <c r="AD143" s="3"/>
    </row>
    <row r="144" customFormat="false" ht="15.75" hidden="false" customHeight="false" outlineLevel="0" collapsed="false">
      <c r="AC144" s="2"/>
      <c r="AD144" s="3"/>
    </row>
    <row r="145" customFormat="false" ht="15.75" hidden="false" customHeight="false" outlineLevel="0" collapsed="false">
      <c r="AC145" s="2"/>
      <c r="AD145" s="3"/>
    </row>
    <row r="146" customFormat="false" ht="15.75" hidden="false" customHeight="false" outlineLevel="0" collapsed="false">
      <c r="AC146" s="2"/>
      <c r="AD146" s="3"/>
    </row>
    <row r="147" customFormat="false" ht="15.75" hidden="false" customHeight="false" outlineLevel="0" collapsed="false">
      <c r="AC147" s="2"/>
      <c r="AD147" s="3"/>
    </row>
    <row r="148" customFormat="false" ht="15.75" hidden="false" customHeight="false" outlineLevel="0" collapsed="false">
      <c r="AC148" s="2"/>
      <c r="AD148" s="3"/>
    </row>
    <row r="149" customFormat="false" ht="15.75" hidden="false" customHeight="false" outlineLevel="0" collapsed="false">
      <c r="AC149" s="2"/>
      <c r="AD149" s="3"/>
    </row>
    <row r="150" customFormat="false" ht="15.75" hidden="false" customHeight="false" outlineLevel="0" collapsed="false">
      <c r="AC150" s="2"/>
      <c r="AD150" s="3"/>
    </row>
    <row r="151" customFormat="false" ht="15.75" hidden="false" customHeight="false" outlineLevel="0" collapsed="false">
      <c r="AC151" s="2"/>
      <c r="AD151" s="3"/>
    </row>
    <row r="152" customFormat="false" ht="15.75" hidden="false" customHeight="false" outlineLevel="0" collapsed="false">
      <c r="AC152" s="2"/>
      <c r="AD152" s="3"/>
    </row>
    <row r="153" customFormat="false" ht="15.75" hidden="false" customHeight="false" outlineLevel="0" collapsed="false">
      <c r="AC153" s="2"/>
      <c r="AD153" s="3"/>
    </row>
    <row r="154" customFormat="false" ht="15.75" hidden="false" customHeight="false" outlineLevel="0" collapsed="false">
      <c r="AC154" s="2"/>
      <c r="AD154" s="3"/>
    </row>
    <row r="155" customFormat="false" ht="15.75" hidden="false" customHeight="false" outlineLevel="0" collapsed="false">
      <c r="AC155" s="2"/>
      <c r="AD155" s="3"/>
    </row>
    <row r="156" customFormat="false" ht="15.75" hidden="false" customHeight="false" outlineLevel="0" collapsed="false">
      <c r="AC156" s="2"/>
      <c r="AD156" s="3"/>
    </row>
    <row r="157" customFormat="false" ht="15.75" hidden="false" customHeight="false" outlineLevel="0" collapsed="false">
      <c r="AC157" s="2"/>
      <c r="AD157" s="3"/>
    </row>
    <row r="158" customFormat="false" ht="15.75" hidden="false" customHeight="false" outlineLevel="0" collapsed="false">
      <c r="AC158" s="2"/>
      <c r="AD158" s="3"/>
    </row>
    <row r="159" customFormat="false" ht="15.75" hidden="false" customHeight="false" outlineLevel="0" collapsed="false">
      <c r="AC159" s="2"/>
      <c r="AD159" s="3"/>
    </row>
    <row r="160" customFormat="false" ht="15.75" hidden="false" customHeight="false" outlineLevel="0" collapsed="false">
      <c r="AC160" s="2"/>
      <c r="AD160" s="3"/>
    </row>
    <row r="161" customFormat="false" ht="15.75" hidden="false" customHeight="false" outlineLevel="0" collapsed="false">
      <c r="AC161" s="2"/>
      <c r="AD161" s="3"/>
    </row>
    <row r="162" customFormat="false" ht="15.75" hidden="false" customHeight="false" outlineLevel="0" collapsed="false">
      <c r="AC162" s="2"/>
      <c r="AD162" s="3"/>
    </row>
    <row r="163" customFormat="false" ht="15.75" hidden="false" customHeight="false" outlineLevel="0" collapsed="false">
      <c r="AC163" s="2"/>
      <c r="AD163" s="3"/>
    </row>
    <row r="164" customFormat="false" ht="15.75" hidden="false" customHeight="false" outlineLevel="0" collapsed="false">
      <c r="AC164" s="2"/>
      <c r="AD164" s="3"/>
    </row>
    <row r="165" customFormat="false" ht="15.75" hidden="false" customHeight="false" outlineLevel="0" collapsed="false">
      <c r="AC165" s="2"/>
      <c r="AD165" s="3"/>
    </row>
    <row r="166" customFormat="false" ht="15.75" hidden="false" customHeight="false" outlineLevel="0" collapsed="false">
      <c r="AC166" s="2"/>
      <c r="AD166" s="3"/>
    </row>
    <row r="167" customFormat="false" ht="15.75" hidden="false" customHeight="false" outlineLevel="0" collapsed="false">
      <c r="AC167" s="2"/>
      <c r="AD167" s="3"/>
    </row>
    <row r="168" customFormat="false" ht="15.75" hidden="false" customHeight="false" outlineLevel="0" collapsed="false">
      <c r="AC168" s="2"/>
      <c r="AD168" s="3"/>
    </row>
    <row r="169" customFormat="false" ht="15.75" hidden="false" customHeight="false" outlineLevel="0" collapsed="false">
      <c r="AC169" s="2"/>
      <c r="AD169" s="3"/>
    </row>
    <row r="170" customFormat="false" ht="15.75" hidden="false" customHeight="false" outlineLevel="0" collapsed="false">
      <c r="AC170" s="2"/>
      <c r="AD170" s="3"/>
    </row>
    <row r="171" customFormat="false" ht="15.75" hidden="false" customHeight="false" outlineLevel="0" collapsed="false">
      <c r="AC171" s="2"/>
      <c r="AD171" s="3"/>
    </row>
    <row r="172" customFormat="false" ht="15.75" hidden="false" customHeight="false" outlineLevel="0" collapsed="false">
      <c r="AC172" s="2"/>
      <c r="AD172" s="3"/>
    </row>
    <row r="173" customFormat="false" ht="15.75" hidden="false" customHeight="false" outlineLevel="0" collapsed="false">
      <c r="AC173" s="2"/>
      <c r="AD173" s="3"/>
    </row>
    <row r="174" customFormat="false" ht="15.75" hidden="false" customHeight="false" outlineLevel="0" collapsed="false">
      <c r="AC174" s="2"/>
      <c r="AD174" s="3"/>
    </row>
    <row r="175" customFormat="false" ht="15.75" hidden="false" customHeight="false" outlineLevel="0" collapsed="false">
      <c r="AC175" s="2"/>
      <c r="AD175" s="3"/>
    </row>
    <row r="176" customFormat="false" ht="15.75" hidden="false" customHeight="false" outlineLevel="0" collapsed="false">
      <c r="AC176" s="2"/>
      <c r="AD176" s="3"/>
    </row>
    <row r="177" customFormat="false" ht="15.75" hidden="false" customHeight="false" outlineLevel="0" collapsed="false">
      <c r="AC177" s="2"/>
      <c r="AD177" s="3"/>
    </row>
    <row r="178" customFormat="false" ht="15.75" hidden="false" customHeight="false" outlineLevel="0" collapsed="false">
      <c r="AC178" s="2"/>
      <c r="AD178" s="3"/>
    </row>
    <row r="179" customFormat="false" ht="15.75" hidden="false" customHeight="false" outlineLevel="0" collapsed="false">
      <c r="AC179" s="2"/>
      <c r="AD179" s="3"/>
    </row>
    <row r="180" customFormat="false" ht="15.75" hidden="false" customHeight="false" outlineLevel="0" collapsed="false">
      <c r="AC180" s="2"/>
      <c r="AD180" s="3"/>
    </row>
    <row r="181" customFormat="false" ht="15.75" hidden="false" customHeight="false" outlineLevel="0" collapsed="false">
      <c r="AC181" s="2"/>
      <c r="AD181" s="3"/>
    </row>
    <row r="182" customFormat="false" ht="15.75" hidden="false" customHeight="false" outlineLevel="0" collapsed="false">
      <c r="AC182" s="2"/>
      <c r="AD182" s="3"/>
    </row>
    <row r="183" customFormat="false" ht="15.75" hidden="false" customHeight="false" outlineLevel="0" collapsed="false">
      <c r="AC183" s="2"/>
      <c r="AD183" s="3"/>
    </row>
    <row r="184" customFormat="false" ht="15.75" hidden="false" customHeight="false" outlineLevel="0" collapsed="false">
      <c r="AC184" s="2"/>
      <c r="AD184" s="3"/>
    </row>
    <row r="185" customFormat="false" ht="15.75" hidden="false" customHeight="false" outlineLevel="0" collapsed="false">
      <c r="AC185" s="2"/>
      <c r="AD185" s="3"/>
    </row>
    <row r="186" customFormat="false" ht="15.75" hidden="false" customHeight="false" outlineLevel="0" collapsed="false">
      <c r="AC186" s="2"/>
      <c r="AD186" s="3"/>
    </row>
    <row r="187" customFormat="false" ht="15.75" hidden="false" customHeight="false" outlineLevel="0" collapsed="false">
      <c r="AC187" s="2"/>
      <c r="AD187" s="3"/>
    </row>
    <row r="188" customFormat="false" ht="15.75" hidden="false" customHeight="false" outlineLevel="0" collapsed="false">
      <c r="AC188" s="2"/>
      <c r="AD188" s="3"/>
    </row>
    <row r="189" customFormat="false" ht="15.75" hidden="false" customHeight="false" outlineLevel="0" collapsed="false">
      <c r="AC189" s="2"/>
      <c r="AD189" s="3"/>
    </row>
    <row r="190" customFormat="false" ht="15.75" hidden="false" customHeight="false" outlineLevel="0" collapsed="false">
      <c r="AC190" s="2"/>
      <c r="AD190" s="3"/>
    </row>
    <row r="191" customFormat="false" ht="15.75" hidden="false" customHeight="false" outlineLevel="0" collapsed="false">
      <c r="AC191" s="2"/>
      <c r="AD191" s="3"/>
    </row>
    <row r="192" customFormat="false" ht="15.75" hidden="false" customHeight="false" outlineLevel="0" collapsed="false">
      <c r="AC192" s="2"/>
      <c r="AD192" s="3"/>
    </row>
    <row r="193" customFormat="false" ht="15.75" hidden="false" customHeight="false" outlineLevel="0" collapsed="false">
      <c r="AC193" s="2"/>
      <c r="AD193" s="3"/>
    </row>
    <row r="194" customFormat="false" ht="15.75" hidden="false" customHeight="false" outlineLevel="0" collapsed="false">
      <c r="AC194" s="2"/>
      <c r="AD194" s="3"/>
    </row>
    <row r="195" customFormat="false" ht="15.75" hidden="false" customHeight="false" outlineLevel="0" collapsed="false">
      <c r="AC195" s="2"/>
      <c r="AD195" s="3"/>
    </row>
    <row r="196" customFormat="false" ht="15.75" hidden="false" customHeight="false" outlineLevel="0" collapsed="false">
      <c r="AC196" s="2"/>
      <c r="AD196" s="3"/>
    </row>
    <row r="197" customFormat="false" ht="15.75" hidden="false" customHeight="false" outlineLevel="0" collapsed="false">
      <c r="AC197" s="2"/>
      <c r="AD197" s="3"/>
    </row>
    <row r="198" customFormat="false" ht="15.75" hidden="false" customHeight="false" outlineLevel="0" collapsed="false">
      <c r="AC198" s="2"/>
      <c r="AD198" s="3"/>
    </row>
    <row r="199" customFormat="false" ht="15.75" hidden="false" customHeight="false" outlineLevel="0" collapsed="false">
      <c r="AC199" s="2"/>
      <c r="AD199" s="3"/>
    </row>
    <row r="200" customFormat="false" ht="15.75" hidden="false" customHeight="false" outlineLevel="0" collapsed="false">
      <c r="AC200" s="2"/>
      <c r="AD200" s="3"/>
    </row>
    <row r="201" customFormat="false" ht="15.75" hidden="false" customHeight="false" outlineLevel="0" collapsed="false">
      <c r="AC201" s="2"/>
      <c r="AD201" s="3"/>
    </row>
    <row r="202" customFormat="false" ht="15.75" hidden="false" customHeight="false" outlineLevel="0" collapsed="false">
      <c r="AC202" s="2"/>
      <c r="AD202" s="3"/>
    </row>
    <row r="203" customFormat="false" ht="15.75" hidden="false" customHeight="false" outlineLevel="0" collapsed="false">
      <c r="AC203" s="2"/>
      <c r="AD203" s="3"/>
    </row>
    <row r="204" customFormat="false" ht="15.75" hidden="false" customHeight="false" outlineLevel="0" collapsed="false">
      <c r="AC204" s="2"/>
      <c r="AD204" s="3"/>
    </row>
    <row r="205" customFormat="false" ht="15.75" hidden="false" customHeight="false" outlineLevel="0" collapsed="false">
      <c r="AC205" s="2"/>
      <c r="AD205" s="3"/>
    </row>
    <row r="206" customFormat="false" ht="15.75" hidden="false" customHeight="false" outlineLevel="0" collapsed="false">
      <c r="AC206" s="2"/>
      <c r="AD206" s="3"/>
    </row>
    <row r="207" customFormat="false" ht="15.75" hidden="false" customHeight="false" outlineLevel="0" collapsed="false">
      <c r="AC207" s="2"/>
      <c r="AD207" s="3"/>
    </row>
    <row r="208" customFormat="false" ht="15.75" hidden="false" customHeight="false" outlineLevel="0" collapsed="false">
      <c r="AC208" s="2"/>
      <c r="AD208" s="3"/>
    </row>
    <row r="209" customFormat="false" ht="15.75" hidden="false" customHeight="false" outlineLevel="0" collapsed="false">
      <c r="AC209" s="2"/>
      <c r="AD209" s="3"/>
    </row>
    <row r="210" customFormat="false" ht="15.75" hidden="false" customHeight="false" outlineLevel="0" collapsed="false">
      <c r="AC210" s="2"/>
      <c r="AD210" s="3"/>
    </row>
    <row r="211" customFormat="false" ht="15.75" hidden="false" customHeight="false" outlineLevel="0" collapsed="false">
      <c r="AC211" s="2"/>
      <c r="AD211" s="3"/>
    </row>
    <row r="212" customFormat="false" ht="15.75" hidden="false" customHeight="false" outlineLevel="0" collapsed="false">
      <c r="AC212" s="2"/>
      <c r="AD212" s="3"/>
    </row>
    <row r="213" customFormat="false" ht="15.75" hidden="false" customHeight="false" outlineLevel="0" collapsed="false">
      <c r="AC213" s="2"/>
      <c r="AD213" s="3"/>
    </row>
    <row r="214" customFormat="false" ht="15.75" hidden="false" customHeight="false" outlineLevel="0" collapsed="false">
      <c r="AC214" s="2"/>
      <c r="AD214" s="3"/>
    </row>
    <row r="215" customFormat="false" ht="15.75" hidden="false" customHeight="false" outlineLevel="0" collapsed="false">
      <c r="AC215" s="2"/>
      <c r="AD215" s="3"/>
    </row>
    <row r="216" customFormat="false" ht="15.75" hidden="false" customHeight="false" outlineLevel="0" collapsed="false">
      <c r="AC216" s="2"/>
      <c r="AD216" s="3"/>
    </row>
    <row r="217" customFormat="false" ht="15.75" hidden="false" customHeight="false" outlineLevel="0" collapsed="false">
      <c r="AC217" s="2"/>
      <c r="AD217" s="3"/>
    </row>
    <row r="218" customFormat="false" ht="15.75" hidden="false" customHeight="false" outlineLevel="0" collapsed="false">
      <c r="AC218" s="2"/>
      <c r="AD218" s="3"/>
    </row>
    <row r="219" customFormat="false" ht="15.75" hidden="false" customHeight="false" outlineLevel="0" collapsed="false">
      <c r="AC219" s="2"/>
      <c r="AD219" s="3"/>
    </row>
    <row r="220" customFormat="false" ht="15.75" hidden="false" customHeight="false" outlineLevel="0" collapsed="false">
      <c r="AC220" s="2"/>
      <c r="AD220" s="3"/>
    </row>
    <row r="221" customFormat="false" ht="15.75" hidden="false" customHeight="false" outlineLevel="0" collapsed="false">
      <c r="AC221" s="2"/>
      <c r="AD221" s="3"/>
    </row>
    <row r="222" customFormat="false" ht="15.75" hidden="false" customHeight="false" outlineLevel="0" collapsed="false">
      <c r="AC222" s="2"/>
      <c r="AD222" s="3"/>
    </row>
    <row r="223" customFormat="false" ht="15.75" hidden="false" customHeight="false" outlineLevel="0" collapsed="false">
      <c r="AC223" s="2"/>
      <c r="AD223" s="3"/>
    </row>
    <row r="224" customFormat="false" ht="15.75" hidden="false" customHeight="false" outlineLevel="0" collapsed="false">
      <c r="AC224" s="2"/>
      <c r="AD224" s="3"/>
    </row>
    <row r="225" customFormat="false" ht="15.75" hidden="false" customHeight="false" outlineLevel="0" collapsed="false">
      <c r="AC225" s="2"/>
      <c r="AD225" s="3"/>
    </row>
    <row r="226" customFormat="false" ht="15.75" hidden="false" customHeight="false" outlineLevel="0" collapsed="false">
      <c r="AC226" s="2"/>
      <c r="AD226" s="3"/>
    </row>
    <row r="227" customFormat="false" ht="15.75" hidden="false" customHeight="false" outlineLevel="0" collapsed="false">
      <c r="AC227" s="2"/>
      <c r="AD227" s="3"/>
    </row>
    <row r="228" customFormat="false" ht="15.75" hidden="false" customHeight="false" outlineLevel="0" collapsed="false">
      <c r="AC228" s="2"/>
      <c r="AD228" s="3"/>
    </row>
    <row r="229" customFormat="false" ht="15.75" hidden="false" customHeight="false" outlineLevel="0" collapsed="false">
      <c r="AC229" s="2"/>
      <c r="AD229" s="3"/>
    </row>
    <row r="230" customFormat="false" ht="15.75" hidden="false" customHeight="false" outlineLevel="0" collapsed="false">
      <c r="AC230" s="2"/>
      <c r="AD230" s="3"/>
    </row>
    <row r="231" customFormat="false" ht="15.75" hidden="false" customHeight="false" outlineLevel="0" collapsed="false">
      <c r="AC231" s="2"/>
      <c r="AD231" s="3"/>
    </row>
    <row r="232" customFormat="false" ht="15.75" hidden="false" customHeight="false" outlineLevel="0" collapsed="false">
      <c r="AC232" s="2"/>
      <c r="AD232" s="3"/>
    </row>
    <row r="233" customFormat="false" ht="15.75" hidden="false" customHeight="false" outlineLevel="0" collapsed="false">
      <c r="AC233" s="2"/>
      <c r="AD233" s="3"/>
    </row>
    <row r="234" customFormat="false" ht="15.75" hidden="false" customHeight="false" outlineLevel="0" collapsed="false">
      <c r="AC234" s="2"/>
      <c r="AD234" s="3"/>
    </row>
    <row r="235" customFormat="false" ht="15.75" hidden="false" customHeight="false" outlineLevel="0" collapsed="false">
      <c r="AC235" s="2"/>
      <c r="AD235" s="3"/>
    </row>
    <row r="236" customFormat="false" ht="15.75" hidden="false" customHeight="false" outlineLevel="0" collapsed="false">
      <c r="AC236" s="2"/>
      <c r="AD236" s="3"/>
    </row>
    <row r="237" customFormat="false" ht="15.75" hidden="false" customHeight="false" outlineLevel="0" collapsed="false">
      <c r="AC237" s="2"/>
      <c r="AD237" s="3"/>
    </row>
    <row r="238" customFormat="false" ht="15.75" hidden="false" customHeight="false" outlineLevel="0" collapsed="false">
      <c r="AC238" s="2"/>
      <c r="AD238" s="3"/>
    </row>
    <row r="239" customFormat="false" ht="15.75" hidden="false" customHeight="false" outlineLevel="0" collapsed="false">
      <c r="AC239" s="2"/>
      <c r="AD239" s="3"/>
    </row>
    <row r="240" customFormat="false" ht="15.75" hidden="false" customHeight="false" outlineLevel="0" collapsed="false">
      <c r="AC240" s="2"/>
      <c r="AD240" s="3"/>
    </row>
    <row r="241" customFormat="false" ht="15.75" hidden="false" customHeight="false" outlineLevel="0" collapsed="false">
      <c r="AC241" s="2"/>
      <c r="AD241" s="3"/>
    </row>
    <row r="242" customFormat="false" ht="15.75" hidden="false" customHeight="false" outlineLevel="0" collapsed="false">
      <c r="AC242" s="2"/>
      <c r="AD242" s="3"/>
    </row>
    <row r="243" customFormat="false" ht="15.75" hidden="false" customHeight="false" outlineLevel="0" collapsed="false">
      <c r="AC243" s="2"/>
      <c r="AD243" s="3"/>
    </row>
    <row r="244" customFormat="false" ht="15.75" hidden="false" customHeight="false" outlineLevel="0" collapsed="false">
      <c r="AC244" s="2"/>
      <c r="AD244" s="3"/>
    </row>
    <row r="245" customFormat="false" ht="15.75" hidden="false" customHeight="false" outlineLevel="0" collapsed="false">
      <c r="AC245" s="2"/>
      <c r="AD245" s="3"/>
    </row>
    <row r="246" customFormat="false" ht="15.75" hidden="false" customHeight="false" outlineLevel="0" collapsed="false">
      <c r="AC246" s="2"/>
      <c r="AD246" s="3"/>
    </row>
    <row r="247" customFormat="false" ht="15.75" hidden="false" customHeight="false" outlineLevel="0" collapsed="false">
      <c r="AC247" s="2"/>
      <c r="AD247" s="3"/>
    </row>
    <row r="248" customFormat="false" ht="15.75" hidden="false" customHeight="false" outlineLevel="0" collapsed="false">
      <c r="AC248" s="2"/>
      <c r="AD248" s="3"/>
    </row>
    <row r="249" customFormat="false" ht="15.75" hidden="false" customHeight="false" outlineLevel="0" collapsed="false">
      <c r="AC249" s="2"/>
      <c r="AD249" s="3"/>
    </row>
    <row r="250" customFormat="false" ht="15.75" hidden="false" customHeight="false" outlineLevel="0" collapsed="false">
      <c r="AC250" s="2"/>
      <c r="AD250" s="3"/>
    </row>
    <row r="251" customFormat="false" ht="15.75" hidden="false" customHeight="false" outlineLevel="0" collapsed="false">
      <c r="AC251" s="2"/>
      <c r="AD251" s="3"/>
    </row>
    <row r="252" customFormat="false" ht="15.75" hidden="false" customHeight="false" outlineLevel="0" collapsed="false">
      <c r="AC252" s="2"/>
      <c r="AD252" s="3"/>
    </row>
    <row r="253" customFormat="false" ht="15.75" hidden="false" customHeight="false" outlineLevel="0" collapsed="false">
      <c r="AC253" s="2"/>
      <c r="AD253" s="3"/>
    </row>
    <row r="254" customFormat="false" ht="15.75" hidden="false" customHeight="false" outlineLevel="0" collapsed="false">
      <c r="AC254" s="2"/>
      <c r="AD254" s="3"/>
    </row>
    <row r="255" customFormat="false" ht="15.75" hidden="false" customHeight="false" outlineLevel="0" collapsed="false">
      <c r="AC255" s="2"/>
      <c r="AD255" s="3"/>
    </row>
    <row r="256" customFormat="false" ht="15.75" hidden="false" customHeight="false" outlineLevel="0" collapsed="false">
      <c r="AC256" s="2"/>
      <c r="AD256" s="3"/>
    </row>
    <row r="257" customFormat="false" ht="15.75" hidden="false" customHeight="false" outlineLevel="0" collapsed="false">
      <c r="AC257" s="2"/>
      <c r="AD257" s="3"/>
    </row>
    <row r="258" customFormat="false" ht="15.75" hidden="false" customHeight="false" outlineLevel="0" collapsed="false">
      <c r="AC258" s="2"/>
      <c r="AD258" s="3"/>
    </row>
    <row r="259" customFormat="false" ht="15.75" hidden="false" customHeight="false" outlineLevel="0" collapsed="false">
      <c r="AC259" s="2"/>
      <c r="AD259" s="3"/>
    </row>
    <row r="260" customFormat="false" ht="15.75" hidden="false" customHeight="false" outlineLevel="0" collapsed="false">
      <c r="AC260" s="2"/>
      <c r="AD260" s="3"/>
    </row>
    <row r="261" customFormat="false" ht="15.75" hidden="false" customHeight="false" outlineLevel="0" collapsed="false">
      <c r="AC261" s="2"/>
      <c r="AD261" s="3"/>
    </row>
    <row r="262" customFormat="false" ht="15.75" hidden="false" customHeight="false" outlineLevel="0" collapsed="false">
      <c r="AC262" s="2"/>
      <c r="AD262" s="3"/>
    </row>
    <row r="263" customFormat="false" ht="15.75" hidden="false" customHeight="false" outlineLevel="0" collapsed="false">
      <c r="AC263" s="2"/>
      <c r="AD263" s="3"/>
    </row>
    <row r="264" customFormat="false" ht="15.75" hidden="false" customHeight="false" outlineLevel="0" collapsed="false">
      <c r="AC264" s="2"/>
      <c r="AD264" s="3"/>
    </row>
    <row r="265" customFormat="false" ht="15.75" hidden="false" customHeight="false" outlineLevel="0" collapsed="false">
      <c r="AC265" s="2"/>
      <c r="AD265" s="3"/>
    </row>
    <row r="266" customFormat="false" ht="15.75" hidden="false" customHeight="false" outlineLevel="0" collapsed="false">
      <c r="AC266" s="2"/>
      <c r="AD266" s="3"/>
    </row>
    <row r="267" customFormat="false" ht="15.75" hidden="false" customHeight="false" outlineLevel="0" collapsed="false">
      <c r="AC267" s="2"/>
      <c r="AD267" s="3"/>
    </row>
    <row r="268" customFormat="false" ht="15.75" hidden="false" customHeight="false" outlineLevel="0" collapsed="false">
      <c r="AC268" s="2"/>
      <c r="AD268" s="3"/>
    </row>
    <row r="269" customFormat="false" ht="15.75" hidden="false" customHeight="false" outlineLevel="0" collapsed="false">
      <c r="AC269" s="2"/>
      <c r="AD269" s="3"/>
    </row>
    <row r="270" customFormat="false" ht="15.75" hidden="false" customHeight="false" outlineLevel="0" collapsed="false">
      <c r="AC270" s="2"/>
      <c r="AD270" s="3"/>
    </row>
    <row r="271" customFormat="false" ht="15.75" hidden="false" customHeight="false" outlineLevel="0" collapsed="false">
      <c r="AC271" s="2"/>
      <c r="AD271" s="3"/>
    </row>
    <row r="272" customFormat="false" ht="15.75" hidden="false" customHeight="false" outlineLevel="0" collapsed="false">
      <c r="AC272" s="2"/>
      <c r="AD272" s="3"/>
    </row>
    <row r="273" customFormat="false" ht="15.75" hidden="false" customHeight="false" outlineLevel="0" collapsed="false">
      <c r="AC273" s="2"/>
      <c r="AD273" s="3"/>
    </row>
    <row r="274" customFormat="false" ht="15.75" hidden="false" customHeight="false" outlineLevel="0" collapsed="false">
      <c r="AC274" s="2"/>
      <c r="AD274" s="3"/>
    </row>
    <row r="275" customFormat="false" ht="15.75" hidden="false" customHeight="false" outlineLevel="0" collapsed="false">
      <c r="AC275" s="2"/>
      <c r="AD275" s="3"/>
    </row>
    <row r="276" customFormat="false" ht="15.75" hidden="false" customHeight="false" outlineLevel="0" collapsed="false">
      <c r="AC276" s="2"/>
      <c r="AD276" s="3"/>
    </row>
    <row r="277" customFormat="false" ht="15.75" hidden="false" customHeight="false" outlineLevel="0" collapsed="false">
      <c r="AC277" s="2"/>
      <c r="AD277" s="3"/>
    </row>
    <row r="278" customFormat="false" ht="15.75" hidden="false" customHeight="false" outlineLevel="0" collapsed="false">
      <c r="AC278" s="2"/>
      <c r="AD278" s="3"/>
    </row>
    <row r="279" customFormat="false" ht="15.75" hidden="false" customHeight="false" outlineLevel="0" collapsed="false">
      <c r="AC279" s="2"/>
      <c r="AD279" s="3"/>
    </row>
    <row r="280" customFormat="false" ht="15.75" hidden="false" customHeight="false" outlineLevel="0" collapsed="false">
      <c r="AC280" s="2"/>
      <c r="AD280" s="3"/>
    </row>
    <row r="281" customFormat="false" ht="15.75" hidden="false" customHeight="false" outlineLevel="0" collapsed="false">
      <c r="AC281" s="2"/>
      <c r="AD281" s="3"/>
    </row>
    <row r="282" customFormat="false" ht="15.75" hidden="false" customHeight="false" outlineLevel="0" collapsed="false">
      <c r="AC282" s="2"/>
      <c r="AD282" s="3"/>
    </row>
    <row r="283" customFormat="false" ht="15.75" hidden="false" customHeight="false" outlineLevel="0" collapsed="false">
      <c r="AC283" s="2"/>
      <c r="AD283" s="3"/>
    </row>
    <row r="284" customFormat="false" ht="15.75" hidden="false" customHeight="false" outlineLevel="0" collapsed="false">
      <c r="AC284" s="2"/>
      <c r="AD284" s="3"/>
    </row>
    <row r="285" customFormat="false" ht="15.75" hidden="false" customHeight="false" outlineLevel="0" collapsed="false">
      <c r="AC285" s="2"/>
      <c r="AD285" s="3"/>
    </row>
    <row r="286" customFormat="false" ht="15.75" hidden="false" customHeight="false" outlineLevel="0" collapsed="false">
      <c r="AC286" s="2"/>
      <c r="AD286" s="3"/>
    </row>
    <row r="287" customFormat="false" ht="15.75" hidden="false" customHeight="false" outlineLevel="0" collapsed="false">
      <c r="AC287" s="2"/>
      <c r="AD287" s="3"/>
    </row>
    <row r="288" customFormat="false" ht="15.75" hidden="false" customHeight="false" outlineLevel="0" collapsed="false">
      <c r="AC288" s="2"/>
      <c r="AD288" s="3"/>
    </row>
    <row r="289" customFormat="false" ht="15.75" hidden="false" customHeight="false" outlineLevel="0" collapsed="false">
      <c r="AC289" s="2"/>
      <c r="AD289" s="3"/>
    </row>
    <row r="290" customFormat="false" ht="15.75" hidden="false" customHeight="false" outlineLevel="0" collapsed="false">
      <c r="AC290" s="2"/>
      <c r="AD290" s="3"/>
    </row>
    <row r="291" customFormat="false" ht="15.75" hidden="false" customHeight="false" outlineLevel="0" collapsed="false">
      <c r="AC291" s="2"/>
      <c r="AD291" s="3"/>
    </row>
    <row r="292" customFormat="false" ht="15.75" hidden="false" customHeight="false" outlineLevel="0" collapsed="false">
      <c r="AC292" s="2"/>
      <c r="AD292" s="3"/>
    </row>
    <row r="293" customFormat="false" ht="15.75" hidden="false" customHeight="false" outlineLevel="0" collapsed="false">
      <c r="AC293" s="2"/>
      <c r="AD293" s="3"/>
    </row>
    <row r="294" customFormat="false" ht="15.75" hidden="false" customHeight="false" outlineLevel="0" collapsed="false">
      <c r="AC294" s="2"/>
      <c r="AD294" s="3"/>
    </row>
    <row r="295" customFormat="false" ht="15.75" hidden="false" customHeight="false" outlineLevel="0" collapsed="false">
      <c r="AC295" s="2"/>
      <c r="AD295" s="3"/>
    </row>
    <row r="296" customFormat="false" ht="15.75" hidden="false" customHeight="false" outlineLevel="0" collapsed="false">
      <c r="AC296" s="2"/>
      <c r="AD296" s="3"/>
    </row>
    <row r="297" customFormat="false" ht="15.75" hidden="false" customHeight="false" outlineLevel="0" collapsed="false">
      <c r="AC297" s="2"/>
      <c r="AD297" s="3"/>
    </row>
    <row r="298" customFormat="false" ht="15.75" hidden="false" customHeight="false" outlineLevel="0" collapsed="false">
      <c r="AC298" s="2"/>
      <c r="AD298" s="3"/>
    </row>
    <row r="299" customFormat="false" ht="15.75" hidden="false" customHeight="false" outlineLevel="0" collapsed="false">
      <c r="AC299" s="2"/>
      <c r="AD299" s="3"/>
    </row>
    <row r="300" customFormat="false" ht="15.75" hidden="false" customHeight="false" outlineLevel="0" collapsed="false">
      <c r="AC300" s="2"/>
      <c r="AD300" s="3"/>
    </row>
    <row r="301" customFormat="false" ht="15.75" hidden="false" customHeight="false" outlineLevel="0" collapsed="false">
      <c r="AC301" s="2"/>
      <c r="AD301" s="3"/>
    </row>
    <row r="302" customFormat="false" ht="15.75" hidden="false" customHeight="false" outlineLevel="0" collapsed="false">
      <c r="AC302" s="2"/>
      <c r="AD302" s="3"/>
    </row>
    <row r="303" customFormat="false" ht="15.75" hidden="false" customHeight="false" outlineLevel="0" collapsed="false">
      <c r="AC303" s="2"/>
      <c r="AD303" s="3"/>
    </row>
    <row r="304" customFormat="false" ht="15.75" hidden="false" customHeight="false" outlineLevel="0" collapsed="false">
      <c r="AC304" s="2"/>
      <c r="AD304" s="3"/>
    </row>
    <row r="305" customFormat="false" ht="15.75" hidden="false" customHeight="false" outlineLevel="0" collapsed="false">
      <c r="AC305" s="2"/>
      <c r="AD305" s="3"/>
    </row>
    <row r="306" customFormat="false" ht="15.75" hidden="false" customHeight="false" outlineLevel="0" collapsed="false">
      <c r="AC306" s="2"/>
      <c r="AD306" s="3"/>
    </row>
    <row r="307" customFormat="false" ht="15.75" hidden="false" customHeight="false" outlineLevel="0" collapsed="false">
      <c r="AC307" s="2"/>
      <c r="AD307" s="3"/>
    </row>
    <row r="308" customFormat="false" ht="15.75" hidden="false" customHeight="false" outlineLevel="0" collapsed="false">
      <c r="AC308" s="2"/>
      <c r="AD308" s="3"/>
    </row>
    <row r="309" customFormat="false" ht="15.75" hidden="false" customHeight="false" outlineLevel="0" collapsed="false">
      <c r="AC309" s="2"/>
      <c r="AD309" s="3"/>
    </row>
    <row r="310" customFormat="false" ht="15.75" hidden="false" customHeight="false" outlineLevel="0" collapsed="false">
      <c r="AC310" s="2"/>
      <c r="AD310" s="3"/>
    </row>
    <row r="311" customFormat="false" ht="15.75" hidden="false" customHeight="false" outlineLevel="0" collapsed="false">
      <c r="AC311" s="2"/>
      <c r="AD311" s="3"/>
    </row>
    <row r="312" customFormat="false" ht="15.75" hidden="false" customHeight="false" outlineLevel="0" collapsed="false">
      <c r="AC312" s="2"/>
      <c r="AD312" s="3"/>
    </row>
    <row r="313" customFormat="false" ht="15.75" hidden="false" customHeight="false" outlineLevel="0" collapsed="false">
      <c r="AC313" s="2"/>
      <c r="AD313" s="3"/>
    </row>
    <row r="314" customFormat="false" ht="15.75" hidden="false" customHeight="false" outlineLevel="0" collapsed="false">
      <c r="AC314" s="2"/>
      <c r="AD314" s="3"/>
    </row>
    <row r="315" customFormat="false" ht="15.75" hidden="false" customHeight="false" outlineLevel="0" collapsed="false">
      <c r="AC315" s="2"/>
      <c r="AD315" s="3"/>
    </row>
    <row r="316" customFormat="false" ht="15.75" hidden="false" customHeight="false" outlineLevel="0" collapsed="false">
      <c r="AC316" s="2"/>
      <c r="AD316" s="3"/>
    </row>
    <row r="317" customFormat="false" ht="15.75" hidden="false" customHeight="false" outlineLevel="0" collapsed="false">
      <c r="AC317" s="2"/>
      <c r="AD317" s="3"/>
    </row>
    <row r="318" customFormat="false" ht="15.75" hidden="false" customHeight="false" outlineLevel="0" collapsed="false">
      <c r="AC318" s="2"/>
      <c r="AD318" s="3"/>
    </row>
    <row r="319" customFormat="false" ht="15.75" hidden="false" customHeight="false" outlineLevel="0" collapsed="false">
      <c r="AC319" s="2"/>
      <c r="AD319" s="3"/>
    </row>
    <row r="320" customFormat="false" ht="15.75" hidden="false" customHeight="false" outlineLevel="0" collapsed="false">
      <c r="AC320" s="2"/>
      <c r="AD320" s="3"/>
    </row>
    <row r="321" customFormat="false" ht="15.75" hidden="false" customHeight="false" outlineLevel="0" collapsed="false">
      <c r="AC321" s="2"/>
      <c r="AD321" s="3"/>
    </row>
    <row r="322" customFormat="false" ht="15.75" hidden="false" customHeight="false" outlineLevel="0" collapsed="false">
      <c r="AC322" s="2"/>
      <c r="AD322" s="3"/>
    </row>
    <row r="323" customFormat="false" ht="15.75" hidden="false" customHeight="false" outlineLevel="0" collapsed="false">
      <c r="AC323" s="2"/>
      <c r="AD323" s="3"/>
    </row>
    <row r="324" customFormat="false" ht="15.75" hidden="false" customHeight="false" outlineLevel="0" collapsed="false">
      <c r="AC324" s="2"/>
      <c r="AD324" s="3"/>
    </row>
    <row r="325" customFormat="false" ht="15.75" hidden="false" customHeight="false" outlineLevel="0" collapsed="false">
      <c r="AC325" s="2"/>
      <c r="AD325" s="3"/>
    </row>
    <row r="326" customFormat="false" ht="15.75" hidden="false" customHeight="false" outlineLevel="0" collapsed="false">
      <c r="AC326" s="2"/>
      <c r="AD326" s="3"/>
    </row>
    <row r="327" customFormat="false" ht="15.75" hidden="false" customHeight="false" outlineLevel="0" collapsed="false">
      <c r="AC327" s="2"/>
      <c r="AD327" s="3"/>
    </row>
    <row r="328" customFormat="false" ht="15.75" hidden="false" customHeight="false" outlineLevel="0" collapsed="false">
      <c r="AC328" s="2"/>
      <c r="AD328" s="3"/>
    </row>
    <row r="329" customFormat="false" ht="15.75" hidden="false" customHeight="false" outlineLevel="0" collapsed="false">
      <c r="AC329" s="2"/>
      <c r="AD329" s="3"/>
    </row>
    <row r="330" customFormat="false" ht="15.75" hidden="false" customHeight="false" outlineLevel="0" collapsed="false">
      <c r="AC330" s="2"/>
      <c r="AD330" s="3"/>
    </row>
    <row r="331" customFormat="false" ht="15.75" hidden="false" customHeight="false" outlineLevel="0" collapsed="false">
      <c r="AC331" s="2"/>
      <c r="AD331" s="3"/>
    </row>
    <row r="332" customFormat="false" ht="15.75" hidden="false" customHeight="false" outlineLevel="0" collapsed="false">
      <c r="AC332" s="2"/>
      <c r="AD332" s="3"/>
    </row>
    <row r="333" customFormat="false" ht="15.75" hidden="false" customHeight="false" outlineLevel="0" collapsed="false">
      <c r="AC333" s="2"/>
      <c r="AD333" s="3"/>
    </row>
    <row r="334" customFormat="false" ht="15.75" hidden="false" customHeight="false" outlineLevel="0" collapsed="false">
      <c r="AC334" s="2"/>
      <c r="AD334" s="3"/>
    </row>
    <row r="335" customFormat="false" ht="15.75" hidden="false" customHeight="false" outlineLevel="0" collapsed="false">
      <c r="AC335" s="2"/>
      <c r="AD335" s="3"/>
    </row>
    <row r="336" customFormat="false" ht="15.75" hidden="false" customHeight="false" outlineLevel="0" collapsed="false">
      <c r="AC336" s="2"/>
      <c r="AD336" s="3"/>
    </row>
    <row r="337" customFormat="false" ht="15.75" hidden="false" customHeight="false" outlineLevel="0" collapsed="false">
      <c r="AC337" s="2"/>
      <c r="AD337" s="3"/>
    </row>
    <row r="338" customFormat="false" ht="15.75" hidden="false" customHeight="false" outlineLevel="0" collapsed="false">
      <c r="AC338" s="2"/>
      <c r="AD338" s="3"/>
    </row>
    <row r="339" customFormat="false" ht="15.75" hidden="false" customHeight="false" outlineLevel="0" collapsed="false">
      <c r="AC339" s="2"/>
      <c r="AD339" s="3"/>
    </row>
    <row r="340" customFormat="false" ht="15.75" hidden="false" customHeight="false" outlineLevel="0" collapsed="false">
      <c r="AC340" s="2"/>
      <c r="AD340" s="3"/>
    </row>
    <row r="341" customFormat="false" ht="15.75" hidden="false" customHeight="false" outlineLevel="0" collapsed="false">
      <c r="AC341" s="2"/>
      <c r="AD341" s="3"/>
    </row>
    <row r="342" customFormat="false" ht="15.75" hidden="false" customHeight="false" outlineLevel="0" collapsed="false">
      <c r="AC342" s="2"/>
      <c r="AD342" s="3"/>
    </row>
    <row r="343" customFormat="false" ht="15.75" hidden="false" customHeight="false" outlineLevel="0" collapsed="false">
      <c r="AC343" s="2"/>
      <c r="AD343" s="3"/>
    </row>
    <row r="344" customFormat="false" ht="15.75" hidden="false" customHeight="false" outlineLevel="0" collapsed="false">
      <c r="AC344" s="2"/>
      <c r="AD344" s="3"/>
    </row>
    <row r="345" customFormat="false" ht="15.75" hidden="false" customHeight="false" outlineLevel="0" collapsed="false">
      <c r="AC345" s="2"/>
      <c r="AD345" s="3"/>
    </row>
    <row r="346" customFormat="false" ht="15.75" hidden="false" customHeight="false" outlineLevel="0" collapsed="false">
      <c r="AC346" s="2"/>
      <c r="AD346" s="3"/>
    </row>
    <row r="347" customFormat="false" ht="15.75" hidden="false" customHeight="false" outlineLevel="0" collapsed="false">
      <c r="AC347" s="2"/>
      <c r="AD347" s="3"/>
    </row>
    <row r="348" customFormat="false" ht="15.75" hidden="false" customHeight="false" outlineLevel="0" collapsed="false">
      <c r="AC348" s="2"/>
      <c r="AD348" s="3"/>
    </row>
    <row r="349" customFormat="false" ht="15.75" hidden="false" customHeight="false" outlineLevel="0" collapsed="false">
      <c r="AC349" s="2"/>
      <c r="AD349" s="3"/>
    </row>
    <row r="350" customFormat="false" ht="15.75" hidden="false" customHeight="false" outlineLevel="0" collapsed="false">
      <c r="AC350" s="2"/>
      <c r="AD350" s="3"/>
    </row>
    <row r="351" customFormat="false" ht="15.75" hidden="false" customHeight="false" outlineLevel="0" collapsed="false">
      <c r="AC351" s="2"/>
      <c r="AD351" s="3"/>
    </row>
    <row r="352" customFormat="false" ht="15.75" hidden="false" customHeight="false" outlineLevel="0" collapsed="false">
      <c r="AC352" s="2"/>
      <c r="AD352" s="3"/>
    </row>
    <row r="353" customFormat="false" ht="15.75" hidden="false" customHeight="false" outlineLevel="0" collapsed="false">
      <c r="AC353" s="2"/>
      <c r="AD353" s="3"/>
    </row>
    <row r="354" customFormat="false" ht="15.75" hidden="false" customHeight="false" outlineLevel="0" collapsed="false">
      <c r="AC354" s="2"/>
      <c r="AD354" s="3"/>
    </row>
    <row r="355" customFormat="false" ht="15.75" hidden="false" customHeight="false" outlineLevel="0" collapsed="false">
      <c r="AC355" s="2"/>
      <c r="AD355" s="3"/>
    </row>
    <row r="356" customFormat="false" ht="15.75" hidden="false" customHeight="false" outlineLevel="0" collapsed="false">
      <c r="AC356" s="2"/>
      <c r="AD356" s="3"/>
    </row>
    <row r="357" customFormat="false" ht="15.75" hidden="false" customHeight="false" outlineLevel="0" collapsed="false">
      <c r="AC357" s="2"/>
      <c r="AD357" s="3"/>
    </row>
    <row r="358" customFormat="false" ht="15.75" hidden="false" customHeight="false" outlineLevel="0" collapsed="false">
      <c r="AC358" s="2"/>
      <c r="AD358" s="3"/>
    </row>
    <row r="359" customFormat="false" ht="15.75" hidden="false" customHeight="false" outlineLevel="0" collapsed="false">
      <c r="AC359" s="2"/>
      <c r="AD359" s="3"/>
    </row>
    <row r="360" customFormat="false" ht="15.75" hidden="false" customHeight="false" outlineLevel="0" collapsed="false">
      <c r="AC360" s="2"/>
      <c r="AD360" s="3"/>
    </row>
    <row r="361" customFormat="false" ht="15.75" hidden="false" customHeight="false" outlineLevel="0" collapsed="false">
      <c r="AC361" s="2"/>
      <c r="AD361" s="3"/>
    </row>
    <row r="362" customFormat="false" ht="15.75" hidden="false" customHeight="false" outlineLevel="0" collapsed="false">
      <c r="AC362" s="2"/>
      <c r="AD362" s="3"/>
    </row>
    <row r="363" customFormat="false" ht="15.75" hidden="false" customHeight="false" outlineLevel="0" collapsed="false">
      <c r="AC363" s="2"/>
      <c r="AD363" s="3"/>
    </row>
    <row r="364" customFormat="false" ht="15.75" hidden="false" customHeight="false" outlineLevel="0" collapsed="false">
      <c r="AC364" s="2"/>
      <c r="AD364" s="3"/>
    </row>
    <row r="365" customFormat="false" ht="15.75" hidden="false" customHeight="false" outlineLevel="0" collapsed="false">
      <c r="AC365" s="2"/>
      <c r="AD365" s="3"/>
    </row>
    <row r="366" customFormat="false" ht="15.75" hidden="false" customHeight="false" outlineLevel="0" collapsed="false">
      <c r="AC366" s="2"/>
      <c r="AD366" s="3"/>
    </row>
    <row r="367" customFormat="false" ht="15.75" hidden="false" customHeight="false" outlineLevel="0" collapsed="false">
      <c r="AC367" s="2"/>
      <c r="AD367" s="3"/>
    </row>
    <row r="368" customFormat="false" ht="15.75" hidden="false" customHeight="false" outlineLevel="0" collapsed="false">
      <c r="AC368" s="2"/>
      <c r="AD368" s="3"/>
    </row>
    <row r="369" customFormat="false" ht="15.75" hidden="false" customHeight="false" outlineLevel="0" collapsed="false">
      <c r="AC369" s="2"/>
      <c r="AD369" s="3"/>
    </row>
    <row r="370" customFormat="false" ht="15.75" hidden="false" customHeight="false" outlineLevel="0" collapsed="false">
      <c r="AC370" s="2"/>
      <c r="AD370" s="3"/>
    </row>
    <row r="371" customFormat="false" ht="15.75" hidden="false" customHeight="false" outlineLevel="0" collapsed="false">
      <c r="AC371" s="2"/>
      <c r="AD371" s="3"/>
    </row>
    <row r="372" customFormat="false" ht="15.75" hidden="false" customHeight="false" outlineLevel="0" collapsed="false">
      <c r="AC372" s="2"/>
      <c r="AD372" s="3"/>
    </row>
    <row r="373" customFormat="false" ht="15.75" hidden="false" customHeight="false" outlineLevel="0" collapsed="false">
      <c r="AC373" s="2"/>
      <c r="AD373" s="3"/>
    </row>
    <row r="374" customFormat="false" ht="15.75" hidden="false" customHeight="false" outlineLevel="0" collapsed="false">
      <c r="AC374" s="2"/>
      <c r="AD374" s="3"/>
    </row>
    <row r="375" customFormat="false" ht="15.75" hidden="false" customHeight="false" outlineLevel="0" collapsed="false">
      <c r="AC375" s="2"/>
      <c r="AD375" s="3"/>
    </row>
    <row r="376" customFormat="false" ht="15.75" hidden="false" customHeight="false" outlineLevel="0" collapsed="false">
      <c r="AC376" s="2"/>
      <c r="AD376" s="3"/>
    </row>
    <row r="377" customFormat="false" ht="15.75" hidden="false" customHeight="false" outlineLevel="0" collapsed="false">
      <c r="AC377" s="2"/>
      <c r="AD377" s="3"/>
    </row>
    <row r="378" customFormat="false" ht="15.75" hidden="false" customHeight="false" outlineLevel="0" collapsed="false">
      <c r="AC378" s="2"/>
      <c r="AD378" s="3"/>
    </row>
    <row r="379" customFormat="false" ht="15.75" hidden="false" customHeight="false" outlineLevel="0" collapsed="false">
      <c r="AC379" s="2"/>
      <c r="AD379" s="3"/>
    </row>
    <row r="380" customFormat="false" ht="15.75" hidden="false" customHeight="false" outlineLevel="0" collapsed="false">
      <c r="AC380" s="2"/>
      <c r="AD380" s="3"/>
    </row>
    <row r="381" customFormat="false" ht="15.75" hidden="false" customHeight="false" outlineLevel="0" collapsed="false">
      <c r="AC381" s="2"/>
      <c r="AD381" s="3"/>
    </row>
    <row r="382" customFormat="false" ht="15.75" hidden="false" customHeight="false" outlineLevel="0" collapsed="false">
      <c r="AC382" s="2"/>
      <c r="AD382" s="3"/>
    </row>
    <row r="383" customFormat="false" ht="15.75" hidden="false" customHeight="false" outlineLevel="0" collapsed="false">
      <c r="AC383" s="2"/>
      <c r="AD383" s="3"/>
    </row>
    <row r="384" customFormat="false" ht="15.75" hidden="false" customHeight="false" outlineLevel="0" collapsed="false">
      <c r="AC384" s="2"/>
      <c r="AD384" s="3"/>
    </row>
    <row r="385" customFormat="false" ht="15.75" hidden="false" customHeight="false" outlineLevel="0" collapsed="false">
      <c r="AC385" s="2"/>
      <c r="AD385" s="3"/>
    </row>
    <row r="386" customFormat="false" ht="15.75" hidden="false" customHeight="false" outlineLevel="0" collapsed="false">
      <c r="AC386" s="2"/>
      <c r="AD386" s="3"/>
    </row>
    <row r="387" customFormat="false" ht="15.75" hidden="false" customHeight="false" outlineLevel="0" collapsed="false">
      <c r="AC387" s="2"/>
      <c r="AD387" s="3"/>
    </row>
    <row r="388" customFormat="false" ht="15.75" hidden="false" customHeight="false" outlineLevel="0" collapsed="false">
      <c r="AC388" s="2"/>
      <c r="AD388" s="3"/>
    </row>
    <row r="389" customFormat="false" ht="15.75" hidden="false" customHeight="false" outlineLevel="0" collapsed="false">
      <c r="AC389" s="2"/>
      <c r="AD389" s="3"/>
    </row>
    <row r="390" customFormat="false" ht="15.75" hidden="false" customHeight="false" outlineLevel="0" collapsed="false">
      <c r="AC390" s="2"/>
      <c r="AD390" s="3"/>
    </row>
    <row r="391" customFormat="false" ht="15.75" hidden="false" customHeight="false" outlineLevel="0" collapsed="false">
      <c r="AC391" s="2"/>
      <c r="AD391" s="3"/>
    </row>
    <row r="392" customFormat="false" ht="15.75" hidden="false" customHeight="false" outlineLevel="0" collapsed="false">
      <c r="AC392" s="2"/>
      <c r="AD392" s="3"/>
    </row>
    <row r="393" customFormat="false" ht="15.75" hidden="false" customHeight="false" outlineLevel="0" collapsed="false">
      <c r="AC393" s="2"/>
      <c r="AD393" s="3"/>
    </row>
    <row r="394" customFormat="false" ht="15.75" hidden="false" customHeight="false" outlineLevel="0" collapsed="false">
      <c r="AC394" s="2"/>
      <c r="AD394" s="3"/>
    </row>
    <row r="395" customFormat="false" ht="15.75" hidden="false" customHeight="false" outlineLevel="0" collapsed="false">
      <c r="AC395" s="2"/>
      <c r="AD395" s="3"/>
    </row>
    <row r="396" customFormat="false" ht="15.75" hidden="false" customHeight="false" outlineLevel="0" collapsed="false">
      <c r="AC396" s="2"/>
      <c r="AD396" s="3"/>
    </row>
    <row r="397" customFormat="false" ht="15.75" hidden="false" customHeight="false" outlineLevel="0" collapsed="false">
      <c r="AC397" s="2"/>
      <c r="AD397" s="3"/>
    </row>
    <row r="398" customFormat="false" ht="15.75" hidden="false" customHeight="false" outlineLevel="0" collapsed="false">
      <c r="AC398" s="2"/>
      <c r="AD398" s="3"/>
    </row>
    <row r="399" customFormat="false" ht="15.75" hidden="false" customHeight="false" outlineLevel="0" collapsed="false">
      <c r="AC399" s="2"/>
      <c r="AD399" s="3"/>
    </row>
    <row r="400" customFormat="false" ht="15.75" hidden="false" customHeight="false" outlineLevel="0" collapsed="false">
      <c r="AC400" s="2"/>
      <c r="AD400" s="3"/>
    </row>
    <row r="401" customFormat="false" ht="15.75" hidden="false" customHeight="false" outlineLevel="0" collapsed="false">
      <c r="AC401" s="2"/>
      <c r="AD401" s="3"/>
    </row>
    <row r="402" customFormat="false" ht="15.75" hidden="false" customHeight="false" outlineLevel="0" collapsed="false">
      <c r="AC402" s="2"/>
      <c r="AD402" s="3"/>
    </row>
    <row r="403" customFormat="false" ht="15.75" hidden="false" customHeight="false" outlineLevel="0" collapsed="false">
      <c r="AC403" s="2"/>
      <c r="AD403" s="3"/>
    </row>
    <row r="404" customFormat="false" ht="15.75" hidden="false" customHeight="false" outlineLevel="0" collapsed="false">
      <c r="AC404" s="2"/>
      <c r="AD404" s="3"/>
    </row>
    <row r="405" customFormat="false" ht="15.75" hidden="false" customHeight="false" outlineLevel="0" collapsed="false">
      <c r="AC405" s="2"/>
      <c r="AD405" s="3"/>
    </row>
    <row r="406" customFormat="false" ht="15.75" hidden="false" customHeight="false" outlineLevel="0" collapsed="false">
      <c r="AC406" s="2"/>
      <c r="AD406" s="3"/>
    </row>
    <row r="407" customFormat="false" ht="15.75" hidden="false" customHeight="false" outlineLevel="0" collapsed="false">
      <c r="AC407" s="2"/>
      <c r="AD407" s="3"/>
    </row>
    <row r="408" customFormat="false" ht="15.75" hidden="false" customHeight="false" outlineLevel="0" collapsed="false">
      <c r="AC408" s="2"/>
      <c r="AD408" s="3"/>
    </row>
    <row r="409" customFormat="false" ht="15.75" hidden="false" customHeight="false" outlineLevel="0" collapsed="false">
      <c r="AC409" s="2"/>
      <c r="AD409" s="3"/>
    </row>
    <row r="410" customFormat="false" ht="15.75" hidden="false" customHeight="false" outlineLevel="0" collapsed="false">
      <c r="AC410" s="2"/>
      <c r="AD410" s="3"/>
    </row>
    <row r="411" customFormat="false" ht="15.75" hidden="false" customHeight="false" outlineLevel="0" collapsed="false">
      <c r="AC411" s="2"/>
      <c r="AD411" s="3"/>
    </row>
    <row r="412" customFormat="false" ht="15.75" hidden="false" customHeight="false" outlineLevel="0" collapsed="false">
      <c r="AC412" s="2"/>
      <c r="AD412" s="3"/>
    </row>
    <row r="413" customFormat="false" ht="15.75" hidden="false" customHeight="false" outlineLevel="0" collapsed="false">
      <c r="AC413" s="2"/>
      <c r="AD413" s="3"/>
    </row>
    <row r="414" customFormat="false" ht="15.75" hidden="false" customHeight="false" outlineLevel="0" collapsed="false">
      <c r="AC414" s="2"/>
      <c r="AD414" s="3"/>
    </row>
    <row r="415" customFormat="false" ht="15.75" hidden="false" customHeight="false" outlineLevel="0" collapsed="false">
      <c r="AC415" s="2"/>
      <c r="AD415" s="3"/>
    </row>
    <row r="416" customFormat="false" ht="15.75" hidden="false" customHeight="false" outlineLevel="0" collapsed="false">
      <c r="AC416" s="2"/>
      <c r="AD416" s="3"/>
    </row>
    <row r="417" customFormat="false" ht="15.75" hidden="false" customHeight="false" outlineLevel="0" collapsed="false">
      <c r="AC417" s="2"/>
      <c r="AD417" s="3"/>
    </row>
    <row r="418" customFormat="false" ht="15.75" hidden="false" customHeight="false" outlineLevel="0" collapsed="false">
      <c r="AC418" s="2"/>
      <c r="AD418" s="3"/>
    </row>
    <row r="419" customFormat="false" ht="15.75" hidden="false" customHeight="false" outlineLevel="0" collapsed="false">
      <c r="AC419" s="2"/>
      <c r="AD419" s="3"/>
    </row>
    <row r="420" customFormat="false" ht="15.75" hidden="false" customHeight="false" outlineLevel="0" collapsed="false">
      <c r="AC420" s="2"/>
      <c r="AD420" s="3"/>
    </row>
    <row r="421" customFormat="false" ht="15.75" hidden="false" customHeight="false" outlineLevel="0" collapsed="false">
      <c r="AC421" s="2"/>
      <c r="AD421" s="3"/>
    </row>
    <row r="422" customFormat="false" ht="15.75" hidden="false" customHeight="false" outlineLevel="0" collapsed="false">
      <c r="AC422" s="2"/>
      <c r="AD422" s="3"/>
    </row>
    <row r="423" customFormat="false" ht="15.75" hidden="false" customHeight="false" outlineLevel="0" collapsed="false">
      <c r="AC423" s="2"/>
      <c r="AD423" s="3"/>
    </row>
    <row r="424" customFormat="false" ht="15.75" hidden="false" customHeight="false" outlineLevel="0" collapsed="false">
      <c r="AC424" s="2"/>
      <c r="AD424" s="3"/>
    </row>
    <row r="425" customFormat="false" ht="15.75" hidden="false" customHeight="false" outlineLevel="0" collapsed="false">
      <c r="AC425" s="2"/>
      <c r="AD425" s="3"/>
    </row>
    <row r="426" customFormat="false" ht="15.75" hidden="false" customHeight="false" outlineLevel="0" collapsed="false">
      <c r="AC426" s="2"/>
      <c r="AD426" s="3"/>
    </row>
    <row r="427" customFormat="false" ht="15.75" hidden="false" customHeight="false" outlineLevel="0" collapsed="false">
      <c r="AC427" s="2"/>
      <c r="AD427" s="3"/>
    </row>
    <row r="428" customFormat="false" ht="15.75" hidden="false" customHeight="false" outlineLevel="0" collapsed="false">
      <c r="AC428" s="2"/>
      <c r="AD428" s="3"/>
    </row>
    <row r="429" customFormat="false" ht="15.75" hidden="false" customHeight="false" outlineLevel="0" collapsed="false">
      <c r="AC429" s="2"/>
      <c r="AD429" s="3"/>
    </row>
    <row r="430" customFormat="false" ht="15.75" hidden="false" customHeight="false" outlineLevel="0" collapsed="false">
      <c r="AC430" s="2"/>
      <c r="AD430" s="3"/>
    </row>
    <row r="431" customFormat="false" ht="15.75" hidden="false" customHeight="false" outlineLevel="0" collapsed="false">
      <c r="AC431" s="2"/>
      <c r="AD431" s="3"/>
    </row>
    <row r="432" customFormat="false" ht="15.75" hidden="false" customHeight="false" outlineLevel="0" collapsed="false">
      <c r="AC432" s="2"/>
      <c r="AD432" s="3"/>
    </row>
    <row r="433" customFormat="false" ht="15.75" hidden="false" customHeight="false" outlineLevel="0" collapsed="false">
      <c r="AC433" s="2"/>
      <c r="AD433" s="3"/>
    </row>
    <row r="434" customFormat="false" ht="15.75" hidden="false" customHeight="false" outlineLevel="0" collapsed="false">
      <c r="AC434" s="2"/>
      <c r="AD434" s="3"/>
    </row>
    <row r="435" customFormat="false" ht="15.75" hidden="false" customHeight="false" outlineLevel="0" collapsed="false">
      <c r="AC435" s="2"/>
      <c r="AD435" s="3"/>
    </row>
    <row r="436" customFormat="false" ht="15.75" hidden="false" customHeight="false" outlineLevel="0" collapsed="false">
      <c r="AC436" s="2"/>
      <c r="AD436" s="3"/>
    </row>
    <row r="437" customFormat="false" ht="15.75" hidden="false" customHeight="false" outlineLevel="0" collapsed="false">
      <c r="AC437" s="2"/>
      <c r="AD437" s="3"/>
    </row>
    <row r="438" customFormat="false" ht="15.75" hidden="false" customHeight="false" outlineLevel="0" collapsed="false">
      <c r="AC438" s="2"/>
      <c r="AD438" s="3"/>
    </row>
    <row r="439" customFormat="false" ht="15.75" hidden="false" customHeight="false" outlineLevel="0" collapsed="false">
      <c r="AC439" s="2"/>
      <c r="AD439" s="3"/>
    </row>
    <row r="440" customFormat="false" ht="15.75" hidden="false" customHeight="false" outlineLevel="0" collapsed="false">
      <c r="AC440" s="2"/>
      <c r="AD440" s="3"/>
    </row>
    <row r="441" customFormat="false" ht="15.75" hidden="false" customHeight="false" outlineLevel="0" collapsed="false">
      <c r="AC441" s="2"/>
      <c r="AD441" s="3"/>
    </row>
    <row r="442" customFormat="false" ht="15.75" hidden="false" customHeight="false" outlineLevel="0" collapsed="false">
      <c r="AC442" s="2"/>
      <c r="AD442" s="3"/>
    </row>
    <row r="443" customFormat="false" ht="15.75" hidden="false" customHeight="false" outlineLevel="0" collapsed="false">
      <c r="AC443" s="2"/>
      <c r="AD443" s="3"/>
    </row>
    <row r="444" customFormat="false" ht="15.75" hidden="false" customHeight="false" outlineLevel="0" collapsed="false">
      <c r="AC444" s="2"/>
      <c r="AD444" s="3"/>
    </row>
    <row r="445" customFormat="false" ht="15.75" hidden="false" customHeight="false" outlineLevel="0" collapsed="false">
      <c r="AC445" s="2"/>
      <c r="AD445" s="3"/>
    </row>
    <row r="446" customFormat="false" ht="15.75" hidden="false" customHeight="false" outlineLevel="0" collapsed="false">
      <c r="AC446" s="2"/>
      <c r="AD446" s="3"/>
    </row>
    <row r="447" customFormat="false" ht="15.75" hidden="false" customHeight="false" outlineLevel="0" collapsed="false">
      <c r="AC447" s="2"/>
      <c r="AD447" s="3"/>
    </row>
    <row r="448" customFormat="false" ht="15.75" hidden="false" customHeight="false" outlineLevel="0" collapsed="false">
      <c r="AC448" s="2"/>
      <c r="AD448" s="3"/>
    </row>
    <row r="449" customFormat="false" ht="15.75" hidden="false" customHeight="false" outlineLevel="0" collapsed="false">
      <c r="AC449" s="2"/>
      <c r="AD449" s="3"/>
    </row>
    <row r="450" customFormat="false" ht="15.75" hidden="false" customHeight="false" outlineLevel="0" collapsed="false">
      <c r="AC450" s="2"/>
      <c r="AD450" s="3"/>
    </row>
    <row r="451" customFormat="false" ht="15.75" hidden="false" customHeight="false" outlineLevel="0" collapsed="false">
      <c r="AC451" s="2"/>
      <c r="AD451" s="3"/>
    </row>
    <row r="452" customFormat="false" ht="15.75" hidden="false" customHeight="false" outlineLevel="0" collapsed="false">
      <c r="AC452" s="2"/>
      <c r="AD452" s="3"/>
    </row>
    <row r="453" customFormat="false" ht="15.75" hidden="false" customHeight="false" outlineLevel="0" collapsed="false">
      <c r="AC453" s="2"/>
      <c r="AD453" s="3"/>
    </row>
    <row r="454" customFormat="false" ht="15.75" hidden="false" customHeight="false" outlineLevel="0" collapsed="false">
      <c r="AC454" s="2"/>
      <c r="AD454" s="3"/>
    </row>
    <row r="455" customFormat="false" ht="15.75" hidden="false" customHeight="false" outlineLevel="0" collapsed="false">
      <c r="AC455" s="2"/>
      <c r="AD455" s="3"/>
    </row>
    <row r="456" customFormat="false" ht="15.75" hidden="false" customHeight="false" outlineLevel="0" collapsed="false">
      <c r="AC456" s="2"/>
      <c r="AD456" s="3"/>
    </row>
    <row r="457" customFormat="false" ht="15.75" hidden="false" customHeight="false" outlineLevel="0" collapsed="false">
      <c r="AC457" s="2"/>
      <c r="AD457" s="3"/>
    </row>
    <row r="458" customFormat="false" ht="15.75" hidden="false" customHeight="false" outlineLevel="0" collapsed="false">
      <c r="AC458" s="2"/>
      <c r="AD458" s="3"/>
    </row>
    <row r="459" customFormat="false" ht="15.75" hidden="false" customHeight="false" outlineLevel="0" collapsed="false">
      <c r="AC459" s="2"/>
      <c r="AD459" s="3"/>
    </row>
    <row r="460" customFormat="false" ht="15.75" hidden="false" customHeight="false" outlineLevel="0" collapsed="false">
      <c r="AC460" s="2"/>
      <c r="AD460" s="3"/>
    </row>
    <row r="461" customFormat="false" ht="15.75" hidden="false" customHeight="false" outlineLevel="0" collapsed="false">
      <c r="AC461" s="2"/>
      <c r="AD461" s="3"/>
    </row>
    <row r="462" customFormat="false" ht="15.75" hidden="false" customHeight="false" outlineLevel="0" collapsed="false">
      <c r="AC462" s="2"/>
      <c r="AD462" s="3"/>
    </row>
    <row r="463" customFormat="false" ht="15.75" hidden="false" customHeight="false" outlineLevel="0" collapsed="false">
      <c r="AC463" s="2"/>
      <c r="AD463" s="3"/>
    </row>
    <row r="464" customFormat="false" ht="15.75" hidden="false" customHeight="false" outlineLevel="0" collapsed="false">
      <c r="AC464" s="2"/>
      <c r="AD464" s="3"/>
    </row>
    <row r="465" customFormat="false" ht="15.75" hidden="false" customHeight="false" outlineLevel="0" collapsed="false">
      <c r="AC465" s="2"/>
      <c r="AD465" s="3"/>
    </row>
    <row r="466" customFormat="false" ht="15.75" hidden="false" customHeight="false" outlineLevel="0" collapsed="false">
      <c r="AC466" s="2"/>
      <c r="AD466" s="3"/>
    </row>
    <row r="467" customFormat="false" ht="15.75" hidden="false" customHeight="false" outlineLevel="0" collapsed="false">
      <c r="AC467" s="2"/>
      <c r="AD467" s="3"/>
    </row>
    <row r="468" customFormat="false" ht="15.75" hidden="false" customHeight="false" outlineLevel="0" collapsed="false">
      <c r="AC468" s="2"/>
      <c r="AD468" s="3"/>
    </row>
    <row r="469" customFormat="false" ht="15.75" hidden="false" customHeight="false" outlineLevel="0" collapsed="false">
      <c r="AC469" s="2"/>
      <c r="AD469" s="3"/>
    </row>
    <row r="470" customFormat="false" ht="15.75" hidden="false" customHeight="false" outlineLevel="0" collapsed="false">
      <c r="AC470" s="2"/>
      <c r="AD470" s="3"/>
    </row>
    <row r="471" customFormat="false" ht="15.75" hidden="false" customHeight="false" outlineLevel="0" collapsed="false">
      <c r="AC471" s="2"/>
      <c r="AD471" s="3"/>
    </row>
    <row r="472" customFormat="false" ht="15.75" hidden="false" customHeight="false" outlineLevel="0" collapsed="false">
      <c r="AC472" s="2"/>
      <c r="AD472" s="3"/>
    </row>
    <row r="473" customFormat="false" ht="15.75" hidden="false" customHeight="false" outlineLevel="0" collapsed="false">
      <c r="AC473" s="2"/>
      <c r="AD473" s="3"/>
    </row>
    <row r="474" customFormat="false" ht="15.75" hidden="false" customHeight="false" outlineLevel="0" collapsed="false">
      <c r="AC474" s="2"/>
      <c r="AD474" s="3"/>
    </row>
    <row r="475" customFormat="false" ht="15.75" hidden="false" customHeight="false" outlineLevel="0" collapsed="false">
      <c r="AC475" s="2"/>
      <c r="AD475" s="3"/>
    </row>
    <row r="476" customFormat="false" ht="15.75" hidden="false" customHeight="false" outlineLevel="0" collapsed="false">
      <c r="AC476" s="2"/>
      <c r="AD476" s="3"/>
    </row>
    <row r="477" customFormat="false" ht="15.75" hidden="false" customHeight="false" outlineLevel="0" collapsed="false">
      <c r="AC477" s="2"/>
      <c r="AD477" s="3"/>
    </row>
    <row r="478" customFormat="false" ht="15.75" hidden="false" customHeight="false" outlineLevel="0" collapsed="false">
      <c r="AC478" s="2"/>
      <c r="AD478" s="3"/>
    </row>
    <row r="479" customFormat="false" ht="15.75" hidden="false" customHeight="false" outlineLevel="0" collapsed="false">
      <c r="AC479" s="2"/>
      <c r="AD479" s="3"/>
    </row>
    <row r="480" customFormat="false" ht="15.75" hidden="false" customHeight="false" outlineLevel="0" collapsed="false">
      <c r="AC480" s="2"/>
      <c r="AD480" s="3"/>
    </row>
    <row r="481" customFormat="false" ht="15.75" hidden="false" customHeight="false" outlineLevel="0" collapsed="false">
      <c r="AC481" s="2"/>
      <c r="AD481" s="3"/>
    </row>
    <row r="482" customFormat="false" ht="15.75" hidden="false" customHeight="false" outlineLevel="0" collapsed="false">
      <c r="AC482" s="2"/>
      <c r="AD482" s="3"/>
    </row>
    <row r="483" customFormat="false" ht="15.75" hidden="false" customHeight="false" outlineLevel="0" collapsed="false">
      <c r="AC483" s="2"/>
      <c r="AD483" s="3"/>
    </row>
    <row r="484" customFormat="false" ht="15.75" hidden="false" customHeight="false" outlineLevel="0" collapsed="false">
      <c r="AC484" s="2"/>
      <c r="AD484" s="3"/>
    </row>
    <row r="485" customFormat="false" ht="15.75" hidden="false" customHeight="false" outlineLevel="0" collapsed="false">
      <c r="AC485" s="2"/>
      <c r="AD485" s="3"/>
    </row>
    <row r="486" customFormat="false" ht="15.75" hidden="false" customHeight="false" outlineLevel="0" collapsed="false">
      <c r="AC486" s="2"/>
      <c r="AD486" s="3"/>
    </row>
    <row r="487" customFormat="false" ht="15.75" hidden="false" customHeight="false" outlineLevel="0" collapsed="false">
      <c r="AC487" s="2"/>
      <c r="AD487" s="3"/>
    </row>
    <row r="488" customFormat="false" ht="15.75" hidden="false" customHeight="false" outlineLevel="0" collapsed="false">
      <c r="AC488" s="2"/>
      <c r="AD488" s="3"/>
    </row>
    <row r="489" customFormat="false" ht="15.75" hidden="false" customHeight="false" outlineLevel="0" collapsed="false">
      <c r="AC489" s="2"/>
      <c r="AD489" s="3"/>
    </row>
    <row r="490" customFormat="false" ht="15.75" hidden="false" customHeight="false" outlineLevel="0" collapsed="false">
      <c r="AC490" s="2"/>
      <c r="AD490" s="3"/>
    </row>
    <row r="491" customFormat="false" ht="15.75" hidden="false" customHeight="false" outlineLevel="0" collapsed="false">
      <c r="AC491" s="2"/>
      <c r="AD491" s="3"/>
    </row>
    <row r="492" customFormat="false" ht="15.75" hidden="false" customHeight="false" outlineLevel="0" collapsed="false">
      <c r="AC492" s="2"/>
      <c r="AD492" s="3"/>
    </row>
    <row r="493" customFormat="false" ht="15.75" hidden="false" customHeight="false" outlineLevel="0" collapsed="false">
      <c r="AC493" s="2"/>
      <c r="AD493" s="3"/>
    </row>
    <row r="494" customFormat="false" ht="15.75" hidden="false" customHeight="false" outlineLevel="0" collapsed="false">
      <c r="AC494" s="2"/>
      <c r="AD494" s="3"/>
    </row>
    <row r="495" customFormat="false" ht="15.75" hidden="false" customHeight="false" outlineLevel="0" collapsed="false">
      <c r="AC495" s="2"/>
      <c r="AD495" s="3"/>
    </row>
    <row r="496" customFormat="false" ht="15.75" hidden="false" customHeight="false" outlineLevel="0" collapsed="false">
      <c r="AC496" s="2"/>
      <c r="AD496" s="3"/>
    </row>
    <row r="497" customFormat="false" ht="15.75" hidden="false" customHeight="false" outlineLevel="0" collapsed="false">
      <c r="AC497" s="2"/>
      <c r="AD497" s="3"/>
    </row>
    <row r="498" customFormat="false" ht="15.75" hidden="false" customHeight="false" outlineLevel="0" collapsed="false">
      <c r="AC498" s="2"/>
      <c r="AD498" s="3"/>
    </row>
    <row r="499" customFormat="false" ht="15.75" hidden="false" customHeight="false" outlineLevel="0" collapsed="false">
      <c r="AC499" s="2"/>
      <c r="AD499" s="3"/>
    </row>
    <row r="500" customFormat="false" ht="15.75" hidden="false" customHeight="false" outlineLevel="0" collapsed="false">
      <c r="AC500" s="2"/>
      <c r="AD500" s="3"/>
    </row>
    <row r="501" customFormat="false" ht="15.75" hidden="false" customHeight="false" outlineLevel="0" collapsed="false">
      <c r="AC501" s="2"/>
      <c r="AD501" s="3"/>
    </row>
    <row r="502" customFormat="false" ht="15.75" hidden="false" customHeight="false" outlineLevel="0" collapsed="false">
      <c r="AC502" s="2"/>
      <c r="AD502" s="3"/>
    </row>
    <row r="503" customFormat="false" ht="15.75" hidden="false" customHeight="false" outlineLevel="0" collapsed="false">
      <c r="AC503" s="2"/>
      <c r="AD503" s="3"/>
    </row>
    <row r="504" customFormat="false" ht="15.75" hidden="false" customHeight="false" outlineLevel="0" collapsed="false">
      <c r="AC504" s="2"/>
      <c r="AD504" s="3"/>
    </row>
    <row r="505" customFormat="false" ht="15.75" hidden="false" customHeight="false" outlineLevel="0" collapsed="false">
      <c r="AC505" s="2"/>
      <c r="AD505" s="3"/>
    </row>
    <row r="506" customFormat="false" ht="15.75" hidden="false" customHeight="false" outlineLevel="0" collapsed="false">
      <c r="AC506" s="2"/>
      <c r="AD506" s="3"/>
    </row>
    <row r="507" customFormat="false" ht="15.75" hidden="false" customHeight="false" outlineLevel="0" collapsed="false">
      <c r="AC507" s="2"/>
      <c r="AD507" s="3"/>
    </row>
    <row r="508" customFormat="false" ht="15.75" hidden="false" customHeight="false" outlineLevel="0" collapsed="false">
      <c r="AC508" s="2"/>
      <c r="AD508" s="3"/>
    </row>
    <row r="509" customFormat="false" ht="15.75" hidden="false" customHeight="false" outlineLevel="0" collapsed="false">
      <c r="AC509" s="2"/>
      <c r="AD509" s="3"/>
    </row>
    <row r="510" customFormat="false" ht="15.75" hidden="false" customHeight="false" outlineLevel="0" collapsed="false">
      <c r="AC510" s="2"/>
      <c r="AD510" s="3"/>
    </row>
    <row r="511" customFormat="false" ht="15.75" hidden="false" customHeight="false" outlineLevel="0" collapsed="false">
      <c r="AC511" s="2"/>
      <c r="AD511" s="3"/>
    </row>
    <row r="512" customFormat="false" ht="15.75" hidden="false" customHeight="false" outlineLevel="0" collapsed="false">
      <c r="AC512" s="2"/>
      <c r="AD512" s="3"/>
    </row>
    <row r="513" customFormat="false" ht="15.75" hidden="false" customHeight="false" outlineLevel="0" collapsed="false">
      <c r="AC513" s="2"/>
      <c r="AD513" s="3"/>
    </row>
    <row r="514" customFormat="false" ht="15.75" hidden="false" customHeight="false" outlineLevel="0" collapsed="false">
      <c r="AC514" s="2"/>
      <c r="AD514" s="3"/>
    </row>
    <row r="515" customFormat="false" ht="15.75" hidden="false" customHeight="false" outlineLevel="0" collapsed="false">
      <c r="AC515" s="2"/>
      <c r="AD515" s="3"/>
    </row>
    <row r="516" customFormat="false" ht="15.75" hidden="false" customHeight="false" outlineLevel="0" collapsed="false">
      <c r="AC516" s="2"/>
      <c r="AD516" s="3"/>
    </row>
    <row r="517" customFormat="false" ht="15.75" hidden="false" customHeight="false" outlineLevel="0" collapsed="false">
      <c r="AC517" s="2"/>
      <c r="AD517" s="3"/>
    </row>
    <row r="518" customFormat="false" ht="15.75" hidden="false" customHeight="false" outlineLevel="0" collapsed="false">
      <c r="AC518" s="2"/>
      <c r="AD518" s="3"/>
    </row>
    <row r="519" customFormat="false" ht="15.75" hidden="false" customHeight="false" outlineLevel="0" collapsed="false">
      <c r="AC519" s="2"/>
      <c r="AD519" s="3"/>
    </row>
    <row r="520" customFormat="false" ht="15.75" hidden="false" customHeight="false" outlineLevel="0" collapsed="false">
      <c r="AC520" s="2"/>
      <c r="AD520" s="3"/>
    </row>
    <row r="521" customFormat="false" ht="15.75" hidden="false" customHeight="false" outlineLevel="0" collapsed="false">
      <c r="AC521" s="2"/>
      <c r="AD521" s="3"/>
    </row>
    <row r="522" customFormat="false" ht="15.75" hidden="false" customHeight="false" outlineLevel="0" collapsed="false">
      <c r="AC522" s="2"/>
      <c r="AD522" s="3"/>
    </row>
    <row r="523" customFormat="false" ht="15.75" hidden="false" customHeight="false" outlineLevel="0" collapsed="false">
      <c r="AC523" s="2"/>
      <c r="AD523" s="3"/>
    </row>
    <row r="524" customFormat="false" ht="15.75" hidden="false" customHeight="false" outlineLevel="0" collapsed="false">
      <c r="AC524" s="2"/>
      <c r="AD524" s="3"/>
    </row>
    <row r="525" customFormat="false" ht="15.75" hidden="false" customHeight="false" outlineLevel="0" collapsed="false">
      <c r="AC525" s="2"/>
      <c r="AD525" s="3"/>
    </row>
    <row r="526" customFormat="false" ht="15.75" hidden="false" customHeight="false" outlineLevel="0" collapsed="false">
      <c r="AC526" s="2"/>
      <c r="AD526" s="3"/>
    </row>
    <row r="527" customFormat="false" ht="15.75" hidden="false" customHeight="false" outlineLevel="0" collapsed="false">
      <c r="AC527" s="2"/>
      <c r="AD527" s="3"/>
    </row>
    <row r="528" customFormat="false" ht="15.75" hidden="false" customHeight="false" outlineLevel="0" collapsed="false">
      <c r="AC528" s="2"/>
      <c r="AD528" s="3"/>
    </row>
    <row r="529" customFormat="false" ht="15.75" hidden="false" customHeight="false" outlineLevel="0" collapsed="false">
      <c r="AC529" s="2"/>
      <c r="AD529" s="3"/>
    </row>
    <row r="530" customFormat="false" ht="15.75" hidden="false" customHeight="false" outlineLevel="0" collapsed="false">
      <c r="AC530" s="2"/>
      <c r="AD530" s="3"/>
    </row>
    <row r="531" customFormat="false" ht="15.75" hidden="false" customHeight="false" outlineLevel="0" collapsed="false">
      <c r="AC531" s="2"/>
      <c r="AD531" s="3"/>
    </row>
    <row r="532" customFormat="false" ht="15.75" hidden="false" customHeight="false" outlineLevel="0" collapsed="false">
      <c r="AC532" s="2"/>
      <c r="AD532" s="3"/>
    </row>
    <row r="533" customFormat="false" ht="15.75" hidden="false" customHeight="false" outlineLevel="0" collapsed="false">
      <c r="AC533" s="2"/>
      <c r="AD533" s="3"/>
    </row>
    <row r="534" customFormat="false" ht="15.75" hidden="false" customHeight="false" outlineLevel="0" collapsed="false">
      <c r="AC534" s="2"/>
      <c r="AD534" s="3"/>
    </row>
    <row r="535" customFormat="false" ht="15.75" hidden="false" customHeight="false" outlineLevel="0" collapsed="false">
      <c r="AC535" s="2"/>
      <c r="AD535" s="3"/>
    </row>
    <row r="536" customFormat="false" ht="15.75" hidden="false" customHeight="false" outlineLevel="0" collapsed="false">
      <c r="AC536" s="2"/>
      <c r="AD536" s="3"/>
    </row>
    <row r="537" customFormat="false" ht="15.75" hidden="false" customHeight="false" outlineLevel="0" collapsed="false">
      <c r="AC537" s="2"/>
      <c r="AD537" s="3"/>
    </row>
    <row r="538" customFormat="false" ht="15.75" hidden="false" customHeight="false" outlineLevel="0" collapsed="false">
      <c r="AC538" s="2"/>
      <c r="AD538" s="3"/>
    </row>
    <row r="539" customFormat="false" ht="15.75" hidden="false" customHeight="false" outlineLevel="0" collapsed="false">
      <c r="AC539" s="2"/>
      <c r="AD539" s="3"/>
    </row>
    <row r="540" customFormat="false" ht="15.75" hidden="false" customHeight="false" outlineLevel="0" collapsed="false">
      <c r="AC540" s="2"/>
      <c r="AD540" s="3"/>
    </row>
    <row r="541" customFormat="false" ht="15.75" hidden="false" customHeight="false" outlineLevel="0" collapsed="false">
      <c r="AC541" s="2"/>
      <c r="AD541" s="3"/>
    </row>
    <row r="542" customFormat="false" ht="15.75" hidden="false" customHeight="false" outlineLevel="0" collapsed="false">
      <c r="AC542" s="2"/>
      <c r="AD542" s="3"/>
    </row>
    <row r="543" customFormat="false" ht="15.75" hidden="false" customHeight="false" outlineLevel="0" collapsed="false">
      <c r="AC543" s="2"/>
      <c r="AD543" s="3"/>
    </row>
    <row r="544" customFormat="false" ht="15.75" hidden="false" customHeight="false" outlineLevel="0" collapsed="false">
      <c r="AC544" s="2"/>
      <c r="AD544" s="3"/>
    </row>
    <row r="545" customFormat="false" ht="15.75" hidden="false" customHeight="false" outlineLevel="0" collapsed="false">
      <c r="AC545" s="2"/>
      <c r="AD545" s="3"/>
    </row>
    <row r="546" customFormat="false" ht="15.75" hidden="false" customHeight="false" outlineLevel="0" collapsed="false">
      <c r="AC546" s="2"/>
      <c r="AD546" s="3"/>
    </row>
    <row r="547" customFormat="false" ht="15.75" hidden="false" customHeight="false" outlineLevel="0" collapsed="false">
      <c r="AC547" s="2"/>
      <c r="AD547" s="3"/>
    </row>
    <row r="548" customFormat="false" ht="15.75" hidden="false" customHeight="false" outlineLevel="0" collapsed="false">
      <c r="AC548" s="2"/>
      <c r="AD548" s="3"/>
    </row>
    <row r="549" customFormat="false" ht="15.75" hidden="false" customHeight="false" outlineLevel="0" collapsed="false">
      <c r="AC549" s="2"/>
      <c r="AD549" s="3"/>
    </row>
    <row r="550" customFormat="false" ht="15.75" hidden="false" customHeight="false" outlineLevel="0" collapsed="false">
      <c r="AC550" s="2"/>
      <c r="AD550" s="3"/>
    </row>
    <row r="551" customFormat="false" ht="15.75" hidden="false" customHeight="false" outlineLevel="0" collapsed="false">
      <c r="AC551" s="2"/>
      <c r="AD551" s="3"/>
    </row>
    <row r="552" customFormat="false" ht="15.75" hidden="false" customHeight="false" outlineLevel="0" collapsed="false">
      <c r="AC552" s="2"/>
      <c r="AD552" s="3"/>
    </row>
    <row r="553" customFormat="false" ht="15.75" hidden="false" customHeight="false" outlineLevel="0" collapsed="false">
      <c r="AC553" s="2"/>
      <c r="AD553" s="3"/>
    </row>
    <row r="554" customFormat="false" ht="15.75" hidden="false" customHeight="false" outlineLevel="0" collapsed="false">
      <c r="AC554" s="2"/>
      <c r="AD554" s="3"/>
    </row>
    <row r="555" customFormat="false" ht="15.75" hidden="false" customHeight="false" outlineLevel="0" collapsed="false">
      <c r="AC555" s="2"/>
      <c r="AD555" s="3"/>
    </row>
    <row r="556" customFormat="false" ht="15.75" hidden="false" customHeight="false" outlineLevel="0" collapsed="false">
      <c r="AC556" s="2"/>
      <c r="AD556" s="3"/>
    </row>
    <row r="557" customFormat="false" ht="15.75" hidden="false" customHeight="false" outlineLevel="0" collapsed="false">
      <c r="AC557" s="2"/>
      <c r="AD557" s="3"/>
    </row>
    <row r="558" customFormat="false" ht="15.75" hidden="false" customHeight="false" outlineLevel="0" collapsed="false">
      <c r="AC558" s="2"/>
      <c r="AD558" s="3"/>
    </row>
    <row r="559" customFormat="false" ht="15.75" hidden="false" customHeight="false" outlineLevel="0" collapsed="false">
      <c r="AC559" s="2"/>
      <c r="AD559" s="3"/>
    </row>
    <row r="560" customFormat="false" ht="15.75" hidden="false" customHeight="false" outlineLevel="0" collapsed="false">
      <c r="AC560" s="2"/>
      <c r="AD560" s="3"/>
    </row>
    <row r="561" customFormat="false" ht="15.75" hidden="false" customHeight="false" outlineLevel="0" collapsed="false">
      <c r="AC561" s="2"/>
      <c r="AD561" s="3"/>
    </row>
    <row r="562" customFormat="false" ht="15.75" hidden="false" customHeight="false" outlineLevel="0" collapsed="false">
      <c r="AC562" s="2"/>
      <c r="AD562" s="3"/>
    </row>
    <row r="563" customFormat="false" ht="15.75" hidden="false" customHeight="false" outlineLevel="0" collapsed="false">
      <c r="AC563" s="2"/>
      <c r="AD563" s="3"/>
    </row>
    <row r="564" customFormat="false" ht="15.75" hidden="false" customHeight="false" outlineLevel="0" collapsed="false">
      <c r="AC564" s="2"/>
      <c r="AD564" s="3"/>
    </row>
    <row r="565" customFormat="false" ht="15.75" hidden="false" customHeight="false" outlineLevel="0" collapsed="false">
      <c r="AC565" s="2"/>
      <c r="AD565" s="3"/>
    </row>
    <row r="566" customFormat="false" ht="15.75" hidden="false" customHeight="false" outlineLevel="0" collapsed="false">
      <c r="AC566" s="2"/>
      <c r="AD566" s="3"/>
    </row>
    <row r="567" customFormat="false" ht="15.75" hidden="false" customHeight="false" outlineLevel="0" collapsed="false">
      <c r="AC567" s="2"/>
      <c r="AD567" s="3"/>
    </row>
    <row r="568" customFormat="false" ht="15.75" hidden="false" customHeight="false" outlineLevel="0" collapsed="false">
      <c r="AC568" s="2"/>
      <c r="AD568" s="3"/>
    </row>
    <row r="569" customFormat="false" ht="15.75" hidden="false" customHeight="false" outlineLevel="0" collapsed="false">
      <c r="AC569" s="2"/>
      <c r="AD569" s="3"/>
    </row>
    <row r="570" customFormat="false" ht="15.75" hidden="false" customHeight="false" outlineLevel="0" collapsed="false">
      <c r="AC570" s="2"/>
      <c r="AD570" s="3"/>
    </row>
    <row r="571" customFormat="false" ht="15.75" hidden="false" customHeight="false" outlineLevel="0" collapsed="false">
      <c r="AC571" s="2"/>
      <c r="AD571" s="3"/>
    </row>
    <row r="572" customFormat="false" ht="15.75" hidden="false" customHeight="false" outlineLevel="0" collapsed="false">
      <c r="AC572" s="2"/>
      <c r="AD572" s="3"/>
    </row>
    <row r="573" customFormat="false" ht="15.75" hidden="false" customHeight="false" outlineLevel="0" collapsed="false">
      <c r="AC573" s="2"/>
      <c r="AD573" s="3"/>
    </row>
    <row r="574" customFormat="false" ht="15.75" hidden="false" customHeight="false" outlineLevel="0" collapsed="false">
      <c r="AC574" s="2"/>
      <c r="AD574" s="3"/>
    </row>
    <row r="575" customFormat="false" ht="15.75" hidden="false" customHeight="false" outlineLevel="0" collapsed="false">
      <c r="AC575" s="2"/>
      <c r="AD575" s="3"/>
    </row>
    <row r="576" customFormat="false" ht="15.75" hidden="false" customHeight="false" outlineLevel="0" collapsed="false">
      <c r="AC576" s="2"/>
      <c r="AD576" s="3"/>
    </row>
    <row r="577" customFormat="false" ht="15.75" hidden="false" customHeight="false" outlineLevel="0" collapsed="false">
      <c r="AC577" s="2"/>
      <c r="AD577" s="3"/>
    </row>
    <row r="578" customFormat="false" ht="15.75" hidden="false" customHeight="false" outlineLevel="0" collapsed="false">
      <c r="AC578" s="2"/>
      <c r="AD578" s="3"/>
    </row>
    <row r="579" customFormat="false" ht="15.75" hidden="false" customHeight="false" outlineLevel="0" collapsed="false">
      <c r="AC579" s="2"/>
      <c r="AD579" s="3"/>
    </row>
    <row r="580" customFormat="false" ht="15.75" hidden="false" customHeight="false" outlineLevel="0" collapsed="false">
      <c r="AC580" s="2"/>
      <c r="AD580" s="3"/>
    </row>
    <row r="581" customFormat="false" ht="15.75" hidden="false" customHeight="false" outlineLevel="0" collapsed="false">
      <c r="AC581" s="2"/>
      <c r="AD581" s="3"/>
    </row>
    <row r="582" customFormat="false" ht="15.75" hidden="false" customHeight="false" outlineLevel="0" collapsed="false">
      <c r="AC582" s="2"/>
      <c r="AD582" s="3"/>
    </row>
    <row r="583" customFormat="false" ht="15.75" hidden="false" customHeight="false" outlineLevel="0" collapsed="false">
      <c r="AC583" s="2"/>
      <c r="AD583" s="3"/>
    </row>
    <row r="584" customFormat="false" ht="15.75" hidden="false" customHeight="false" outlineLevel="0" collapsed="false">
      <c r="AC584" s="2"/>
      <c r="AD584" s="3"/>
    </row>
    <row r="585" customFormat="false" ht="15.75" hidden="false" customHeight="false" outlineLevel="0" collapsed="false">
      <c r="AC585" s="2"/>
      <c r="AD585" s="3"/>
    </row>
    <row r="586" customFormat="false" ht="15.75" hidden="false" customHeight="false" outlineLevel="0" collapsed="false">
      <c r="AC586" s="2"/>
      <c r="AD586" s="3"/>
    </row>
    <row r="587" customFormat="false" ht="15.75" hidden="false" customHeight="false" outlineLevel="0" collapsed="false">
      <c r="AC587" s="2"/>
      <c r="AD587" s="3"/>
    </row>
    <row r="588" customFormat="false" ht="15.75" hidden="false" customHeight="false" outlineLevel="0" collapsed="false">
      <c r="AC588" s="2"/>
      <c r="AD588" s="3"/>
    </row>
    <row r="589" customFormat="false" ht="15.75" hidden="false" customHeight="false" outlineLevel="0" collapsed="false">
      <c r="AC589" s="2"/>
      <c r="AD589" s="3"/>
    </row>
    <row r="590" customFormat="false" ht="15.75" hidden="false" customHeight="false" outlineLevel="0" collapsed="false">
      <c r="AC590" s="2"/>
      <c r="AD590" s="3"/>
    </row>
    <row r="591" customFormat="false" ht="15.75" hidden="false" customHeight="false" outlineLevel="0" collapsed="false">
      <c r="AC591" s="2"/>
      <c r="AD591" s="3"/>
    </row>
    <row r="592" customFormat="false" ht="15.75" hidden="false" customHeight="false" outlineLevel="0" collapsed="false">
      <c r="AC592" s="2"/>
      <c r="AD592" s="3"/>
    </row>
    <row r="593" customFormat="false" ht="15.75" hidden="false" customHeight="false" outlineLevel="0" collapsed="false">
      <c r="AC593" s="2"/>
      <c r="AD593" s="3"/>
    </row>
    <row r="594" customFormat="false" ht="15.75" hidden="false" customHeight="false" outlineLevel="0" collapsed="false">
      <c r="AC594" s="2"/>
      <c r="AD594" s="3"/>
    </row>
    <row r="595" customFormat="false" ht="15.75" hidden="false" customHeight="false" outlineLevel="0" collapsed="false">
      <c r="AC595" s="2"/>
      <c r="AD595" s="3"/>
    </row>
    <row r="596" customFormat="false" ht="15.75" hidden="false" customHeight="false" outlineLevel="0" collapsed="false">
      <c r="AC596" s="2"/>
      <c r="AD596" s="3"/>
    </row>
    <row r="597" customFormat="false" ht="15.75" hidden="false" customHeight="false" outlineLevel="0" collapsed="false">
      <c r="AC597" s="2"/>
      <c r="AD597" s="3"/>
    </row>
    <row r="598" customFormat="false" ht="15.75" hidden="false" customHeight="false" outlineLevel="0" collapsed="false">
      <c r="AC598" s="2"/>
      <c r="AD598" s="3"/>
    </row>
    <row r="599" customFormat="false" ht="15.75" hidden="false" customHeight="false" outlineLevel="0" collapsed="false">
      <c r="AC599" s="2"/>
      <c r="AD599" s="3"/>
    </row>
    <row r="600" customFormat="false" ht="15.75" hidden="false" customHeight="false" outlineLevel="0" collapsed="false">
      <c r="AC600" s="2"/>
      <c r="AD600" s="3"/>
    </row>
    <row r="601" customFormat="false" ht="15.75" hidden="false" customHeight="false" outlineLevel="0" collapsed="false">
      <c r="AC601" s="2"/>
      <c r="AD601" s="3"/>
    </row>
    <row r="602" customFormat="false" ht="15.75" hidden="false" customHeight="false" outlineLevel="0" collapsed="false">
      <c r="AC602" s="2"/>
      <c r="AD602" s="3"/>
    </row>
    <row r="603" customFormat="false" ht="15.75" hidden="false" customHeight="false" outlineLevel="0" collapsed="false">
      <c r="AC603" s="2"/>
      <c r="AD603" s="3"/>
    </row>
    <row r="604" customFormat="false" ht="15.75" hidden="false" customHeight="false" outlineLevel="0" collapsed="false">
      <c r="AC604" s="2"/>
      <c r="AD604" s="3"/>
    </row>
    <row r="605" customFormat="false" ht="15.75" hidden="false" customHeight="false" outlineLevel="0" collapsed="false">
      <c r="AC605" s="2"/>
      <c r="AD605" s="3"/>
    </row>
    <row r="606" customFormat="false" ht="15.75" hidden="false" customHeight="false" outlineLevel="0" collapsed="false">
      <c r="AC606" s="2"/>
      <c r="AD606" s="3"/>
    </row>
    <row r="607" customFormat="false" ht="15.75" hidden="false" customHeight="false" outlineLevel="0" collapsed="false">
      <c r="AC607" s="2"/>
      <c r="AD607" s="3"/>
    </row>
    <row r="608" customFormat="false" ht="15.75" hidden="false" customHeight="false" outlineLevel="0" collapsed="false">
      <c r="AC608" s="2"/>
      <c r="AD608" s="3"/>
    </row>
    <row r="609" customFormat="false" ht="15.75" hidden="false" customHeight="false" outlineLevel="0" collapsed="false">
      <c r="AC609" s="2"/>
      <c r="AD609" s="3"/>
    </row>
    <row r="610" customFormat="false" ht="15.75" hidden="false" customHeight="false" outlineLevel="0" collapsed="false">
      <c r="AC610" s="2"/>
      <c r="AD610" s="3"/>
    </row>
    <row r="611" customFormat="false" ht="15.75" hidden="false" customHeight="false" outlineLevel="0" collapsed="false">
      <c r="AC611" s="2"/>
      <c r="AD611" s="3"/>
    </row>
    <row r="612" customFormat="false" ht="15.75" hidden="false" customHeight="false" outlineLevel="0" collapsed="false">
      <c r="AC612" s="2"/>
      <c r="AD612" s="3"/>
    </row>
    <row r="613" customFormat="false" ht="15.75" hidden="false" customHeight="false" outlineLevel="0" collapsed="false">
      <c r="AC613" s="2"/>
      <c r="AD613" s="3"/>
    </row>
    <row r="614" customFormat="false" ht="15.75" hidden="false" customHeight="false" outlineLevel="0" collapsed="false">
      <c r="AC614" s="2"/>
      <c r="AD614" s="3"/>
    </row>
    <row r="615" customFormat="false" ht="15.75" hidden="false" customHeight="false" outlineLevel="0" collapsed="false">
      <c r="AC615" s="2"/>
      <c r="AD615" s="3"/>
    </row>
    <row r="616" customFormat="false" ht="15.75" hidden="false" customHeight="false" outlineLevel="0" collapsed="false">
      <c r="AC616" s="2"/>
      <c r="AD616" s="3"/>
    </row>
    <row r="617" customFormat="false" ht="15.75" hidden="false" customHeight="false" outlineLevel="0" collapsed="false">
      <c r="AC617" s="2"/>
      <c r="AD617" s="3"/>
    </row>
    <row r="618" customFormat="false" ht="15.75" hidden="false" customHeight="false" outlineLevel="0" collapsed="false">
      <c r="AC618" s="2"/>
      <c r="AD618" s="3"/>
    </row>
    <row r="619" customFormat="false" ht="15.75" hidden="false" customHeight="false" outlineLevel="0" collapsed="false">
      <c r="AC619" s="2"/>
      <c r="AD619" s="3"/>
    </row>
    <row r="620" customFormat="false" ht="15.75" hidden="false" customHeight="false" outlineLevel="0" collapsed="false">
      <c r="AC620" s="2"/>
      <c r="AD620" s="3"/>
    </row>
    <row r="621" customFormat="false" ht="15.75" hidden="false" customHeight="false" outlineLevel="0" collapsed="false">
      <c r="AC621" s="2"/>
      <c r="AD621" s="3"/>
    </row>
    <row r="622" customFormat="false" ht="15.75" hidden="false" customHeight="false" outlineLevel="0" collapsed="false">
      <c r="AC622" s="2"/>
      <c r="AD622" s="3"/>
    </row>
    <row r="623" customFormat="false" ht="15.75" hidden="false" customHeight="false" outlineLevel="0" collapsed="false">
      <c r="AC623" s="2"/>
      <c r="AD623" s="3"/>
    </row>
    <row r="624" customFormat="false" ht="15.75" hidden="false" customHeight="false" outlineLevel="0" collapsed="false">
      <c r="AC624" s="2"/>
      <c r="AD624" s="3"/>
    </row>
    <row r="625" customFormat="false" ht="15.75" hidden="false" customHeight="false" outlineLevel="0" collapsed="false">
      <c r="AC625" s="2"/>
      <c r="AD625" s="3"/>
    </row>
    <row r="626" customFormat="false" ht="15.75" hidden="false" customHeight="false" outlineLevel="0" collapsed="false">
      <c r="AC626" s="2"/>
      <c r="AD626" s="3"/>
    </row>
    <row r="627" customFormat="false" ht="15.75" hidden="false" customHeight="false" outlineLevel="0" collapsed="false">
      <c r="AC627" s="2"/>
      <c r="AD627" s="3"/>
    </row>
    <row r="628" customFormat="false" ht="15.75" hidden="false" customHeight="false" outlineLevel="0" collapsed="false">
      <c r="AC628" s="2"/>
      <c r="AD628" s="3"/>
    </row>
    <row r="629" customFormat="false" ht="15.75" hidden="false" customHeight="false" outlineLevel="0" collapsed="false">
      <c r="AC629" s="2"/>
      <c r="AD629" s="3"/>
    </row>
    <row r="630" customFormat="false" ht="15.75" hidden="false" customHeight="false" outlineLevel="0" collapsed="false">
      <c r="AC630" s="2"/>
      <c r="AD630" s="3"/>
    </row>
    <row r="631" customFormat="false" ht="15.75" hidden="false" customHeight="false" outlineLevel="0" collapsed="false">
      <c r="AC631" s="2"/>
      <c r="AD631" s="3"/>
    </row>
    <row r="632" customFormat="false" ht="15.75" hidden="false" customHeight="false" outlineLevel="0" collapsed="false">
      <c r="AC632" s="2"/>
      <c r="AD632" s="3"/>
    </row>
    <row r="633" customFormat="false" ht="15.75" hidden="false" customHeight="false" outlineLevel="0" collapsed="false">
      <c r="AC633" s="2"/>
      <c r="AD633" s="3"/>
    </row>
    <row r="634" customFormat="false" ht="15.75" hidden="false" customHeight="false" outlineLevel="0" collapsed="false">
      <c r="AC634" s="2"/>
      <c r="AD634" s="3"/>
    </row>
    <row r="635" customFormat="false" ht="15.75" hidden="false" customHeight="false" outlineLevel="0" collapsed="false">
      <c r="AC635" s="2"/>
      <c r="AD635" s="3"/>
    </row>
    <row r="636" customFormat="false" ht="15.75" hidden="false" customHeight="false" outlineLevel="0" collapsed="false">
      <c r="AC636" s="2"/>
      <c r="AD636" s="3"/>
    </row>
    <row r="637" customFormat="false" ht="15.75" hidden="false" customHeight="false" outlineLevel="0" collapsed="false">
      <c r="AC637" s="2"/>
      <c r="AD637" s="3"/>
    </row>
    <row r="638" customFormat="false" ht="15.75" hidden="false" customHeight="false" outlineLevel="0" collapsed="false">
      <c r="AC638" s="2"/>
      <c r="AD638" s="3"/>
    </row>
    <row r="639" customFormat="false" ht="15.75" hidden="false" customHeight="false" outlineLevel="0" collapsed="false">
      <c r="AC639" s="2"/>
      <c r="AD639" s="3"/>
    </row>
    <row r="640" customFormat="false" ht="15.75" hidden="false" customHeight="false" outlineLevel="0" collapsed="false">
      <c r="AC640" s="2"/>
      <c r="AD640" s="3"/>
    </row>
    <row r="641" customFormat="false" ht="15.75" hidden="false" customHeight="false" outlineLevel="0" collapsed="false">
      <c r="AC641" s="2"/>
      <c r="AD641" s="3"/>
    </row>
    <row r="642" customFormat="false" ht="15.75" hidden="false" customHeight="false" outlineLevel="0" collapsed="false">
      <c r="AC642" s="2"/>
      <c r="AD642" s="3"/>
    </row>
    <row r="643" customFormat="false" ht="15.75" hidden="false" customHeight="false" outlineLevel="0" collapsed="false">
      <c r="AC643" s="2"/>
      <c r="AD643" s="3"/>
    </row>
    <row r="644" customFormat="false" ht="15.75" hidden="false" customHeight="false" outlineLevel="0" collapsed="false">
      <c r="AC644" s="2"/>
      <c r="AD644" s="3"/>
    </row>
    <row r="645" customFormat="false" ht="15.75" hidden="false" customHeight="false" outlineLevel="0" collapsed="false">
      <c r="AC645" s="2"/>
      <c r="AD645" s="3"/>
    </row>
    <row r="646" customFormat="false" ht="15.75" hidden="false" customHeight="false" outlineLevel="0" collapsed="false">
      <c r="AC646" s="2"/>
      <c r="AD646" s="3"/>
    </row>
    <row r="647" customFormat="false" ht="15.75" hidden="false" customHeight="false" outlineLevel="0" collapsed="false">
      <c r="AC647" s="2"/>
      <c r="AD647" s="3"/>
    </row>
    <row r="648" customFormat="false" ht="15.75" hidden="false" customHeight="false" outlineLevel="0" collapsed="false">
      <c r="AC648" s="2"/>
      <c r="AD648" s="3"/>
    </row>
    <row r="649" customFormat="false" ht="15.75" hidden="false" customHeight="false" outlineLevel="0" collapsed="false">
      <c r="AC649" s="2"/>
      <c r="AD649" s="3"/>
    </row>
    <row r="650" customFormat="false" ht="15.75" hidden="false" customHeight="false" outlineLevel="0" collapsed="false">
      <c r="AC650" s="2"/>
      <c r="AD650" s="3"/>
    </row>
    <row r="651" customFormat="false" ht="15.75" hidden="false" customHeight="false" outlineLevel="0" collapsed="false">
      <c r="AC651" s="2"/>
      <c r="AD651" s="3"/>
    </row>
    <row r="652" customFormat="false" ht="15.75" hidden="false" customHeight="false" outlineLevel="0" collapsed="false">
      <c r="AC652" s="2"/>
      <c r="AD652" s="3"/>
    </row>
    <row r="653" customFormat="false" ht="15.75" hidden="false" customHeight="false" outlineLevel="0" collapsed="false">
      <c r="AC653" s="2"/>
      <c r="AD653" s="3"/>
    </row>
    <row r="654" customFormat="false" ht="15.75" hidden="false" customHeight="false" outlineLevel="0" collapsed="false">
      <c r="AC654" s="2"/>
      <c r="AD654" s="3"/>
    </row>
    <row r="655" customFormat="false" ht="15.75" hidden="false" customHeight="false" outlineLevel="0" collapsed="false">
      <c r="AC655" s="2"/>
      <c r="AD655" s="3"/>
    </row>
    <row r="656" customFormat="false" ht="15.75" hidden="false" customHeight="false" outlineLevel="0" collapsed="false">
      <c r="AC656" s="2"/>
      <c r="AD656" s="3"/>
    </row>
    <row r="657" customFormat="false" ht="15.75" hidden="false" customHeight="false" outlineLevel="0" collapsed="false">
      <c r="AC657" s="2"/>
      <c r="AD657" s="3"/>
    </row>
    <row r="658" customFormat="false" ht="15.75" hidden="false" customHeight="false" outlineLevel="0" collapsed="false">
      <c r="AC658" s="2"/>
      <c r="AD658" s="3"/>
    </row>
    <row r="659" customFormat="false" ht="15.75" hidden="false" customHeight="false" outlineLevel="0" collapsed="false">
      <c r="AC659" s="2"/>
      <c r="AD659" s="3"/>
    </row>
    <row r="660" customFormat="false" ht="15.75" hidden="false" customHeight="false" outlineLevel="0" collapsed="false">
      <c r="AC660" s="2"/>
      <c r="AD660" s="3"/>
    </row>
    <row r="661" customFormat="false" ht="15.75" hidden="false" customHeight="false" outlineLevel="0" collapsed="false">
      <c r="AC661" s="2"/>
      <c r="AD661" s="3"/>
    </row>
    <row r="662" customFormat="false" ht="15.75" hidden="false" customHeight="false" outlineLevel="0" collapsed="false">
      <c r="AC662" s="2"/>
      <c r="AD662" s="3"/>
    </row>
    <row r="663" customFormat="false" ht="15.75" hidden="false" customHeight="false" outlineLevel="0" collapsed="false">
      <c r="AC663" s="2"/>
      <c r="AD663" s="3"/>
    </row>
    <row r="664" customFormat="false" ht="15.75" hidden="false" customHeight="false" outlineLevel="0" collapsed="false">
      <c r="AC664" s="2"/>
      <c r="AD664" s="3"/>
    </row>
    <row r="665" customFormat="false" ht="15.75" hidden="false" customHeight="false" outlineLevel="0" collapsed="false">
      <c r="AC665" s="2"/>
      <c r="AD665" s="3"/>
    </row>
    <row r="666" customFormat="false" ht="15.75" hidden="false" customHeight="false" outlineLevel="0" collapsed="false">
      <c r="AC666" s="2"/>
      <c r="AD666" s="3"/>
    </row>
    <row r="667" customFormat="false" ht="15.75" hidden="false" customHeight="false" outlineLevel="0" collapsed="false">
      <c r="AC667" s="2"/>
      <c r="AD667" s="3"/>
    </row>
    <row r="668" customFormat="false" ht="15.75" hidden="false" customHeight="false" outlineLevel="0" collapsed="false">
      <c r="AC668" s="2"/>
      <c r="AD668" s="3"/>
    </row>
    <row r="669" customFormat="false" ht="15.75" hidden="false" customHeight="false" outlineLevel="0" collapsed="false">
      <c r="AC669" s="2"/>
      <c r="AD669" s="3"/>
    </row>
    <row r="670" customFormat="false" ht="15.75" hidden="false" customHeight="false" outlineLevel="0" collapsed="false">
      <c r="AC670" s="2"/>
      <c r="AD670" s="3"/>
    </row>
    <row r="671" customFormat="false" ht="15.75" hidden="false" customHeight="false" outlineLevel="0" collapsed="false">
      <c r="AC671" s="2"/>
      <c r="AD671" s="3"/>
    </row>
    <row r="672" customFormat="false" ht="15.75" hidden="false" customHeight="false" outlineLevel="0" collapsed="false">
      <c r="AC672" s="2"/>
      <c r="AD672" s="3"/>
    </row>
    <row r="673" customFormat="false" ht="15.75" hidden="false" customHeight="false" outlineLevel="0" collapsed="false">
      <c r="AC673" s="2"/>
      <c r="AD673" s="3"/>
    </row>
    <row r="674" customFormat="false" ht="15.75" hidden="false" customHeight="false" outlineLevel="0" collapsed="false">
      <c r="AC674" s="2"/>
      <c r="AD674" s="3"/>
    </row>
    <row r="675" customFormat="false" ht="15.75" hidden="false" customHeight="false" outlineLevel="0" collapsed="false">
      <c r="AC675" s="2"/>
      <c r="AD675" s="3"/>
    </row>
    <row r="676" customFormat="false" ht="15.75" hidden="false" customHeight="false" outlineLevel="0" collapsed="false">
      <c r="AC676" s="2"/>
      <c r="AD676" s="3"/>
    </row>
    <row r="677" customFormat="false" ht="15.75" hidden="false" customHeight="false" outlineLevel="0" collapsed="false">
      <c r="AC677" s="2"/>
      <c r="AD677" s="3"/>
    </row>
    <row r="678" customFormat="false" ht="15.75" hidden="false" customHeight="false" outlineLevel="0" collapsed="false">
      <c r="AC678" s="2"/>
      <c r="AD678" s="3"/>
    </row>
    <row r="679" customFormat="false" ht="15.75" hidden="false" customHeight="false" outlineLevel="0" collapsed="false">
      <c r="AC679" s="2"/>
      <c r="AD679" s="3"/>
    </row>
    <row r="680" customFormat="false" ht="15.75" hidden="false" customHeight="false" outlineLevel="0" collapsed="false">
      <c r="AC680" s="2"/>
      <c r="AD680" s="3"/>
    </row>
    <row r="681" customFormat="false" ht="15.75" hidden="false" customHeight="false" outlineLevel="0" collapsed="false">
      <c r="AC681" s="2"/>
      <c r="AD681" s="3"/>
    </row>
    <row r="682" customFormat="false" ht="15.75" hidden="false" customHeight="false" outlineLevel="0" collapsed="false">
      <c r="AC682" s="2"/>
      <c r="AD682" s="3"/>
    </row>
    <row r="683" customFormat="false" ht="15.75" hidden="false" customHeight="false" outlineLevel="0" collapsed="false">
      <c r="AC683" s="2"/>
      <c r="AD683" s="3"/>
    </row>
    <row r="684" customFormat="false" ht="15.75" hidden="false" customHeight="false" outlineLevel="0" collapsed="false">
      <c r="AC684" s="2"/>
      <c r="AD684" s="3"/>
    </row>
    <row r="685" customFormat="false" ht="15.75" hidden="false" customHeight="false" outlineLevel="0" collapsed="false">
      <c r="AC685" s="2"/>
      <c r="AD685" s="3"/>
    </row>
    <row r="686" customFormat="false" ht="15.75" hidden="false" customHeight="false" outlineLevel="0" collapsed="false">
      <c r="AC686" s="2"/>
      <c r="AD686" s="3"/>
    </row>
    <row r="687" customFormat="false" ht="15.75" hidden="false" customHeight="false" outlineLevel="0" collapsed="false">
      <c r="AC687" s="2"/>
      <c r="AD687" s="3"/>
    </row>
    <row r="688" customFormat="false" ht="15.75" hidden="false" customHeight="false" outlineLevel="0" collapsed="false">
      <c r="AC688" s="2"/>
      <c r="AD688" s="3"/>
    </row>
    <row r="689" customFormat="false" ht="15.75" hidden="false" customHeight="false" outlineLevel="0" collapsed="false">
      <c r="AC689" s="2"/>
      <c r="AD689" s="3"/>
    </row>
    <row r="690" customFormat="false" ht="15.75" hidden="false" customHeight="false" outlineLevel="0" collapsed="false">
      <c r="AC690" s="2"/>
      <c r="AD690" s="3"/>
    </row>
    <row r="691" customFormat="false" ht="15.75" hidden="false" customHeight="false" outlineLevel="0" collapsed="false">
      <c r="AC691" s="2"/>
      <c r="AD691" s="3"/>
    </row>
    <row r="692" customFormat="false" ht="15.75" hidden="false" customHeight="false" outlineLevel="0" collapsed="false">
      <c r="AC692" s="2"/>
      <c r="AD692" s="3"/>
    </row>
    <row r="693" customFormat="false" ht="15.75" hidden="false" customHeight="false" outlineLevel="0" collapsed="false">
      <c r="AC693" s="2"/>
      <c r="AD693" s="3"/>
    </row>
    <row r="694" customFormat="false" ht="15.75" hidden="false" customHeight="false" outlineLevel="0" collapsed="false">
      <c r="AC694" s="2"/>
      <c r="AD694" s="3"/>
    </row>
    <row r="695" customFormat="false" ht="15.75" hidden="false" customHeight="false" outlineLevel="0" collapsed="false">
      <c r="AC695" s="2"/>
      <c r="AD695" s="3"/>
    </row>
    <row r="696" customFormat="false" ht="15.75" hidden="false" customHeight="false" outlineLevel="0" collapsed="false">
      <c r="AC696" s="2"/>
      <c r="AD696" s="3"/>
    </row>
    <row r="697" customFormat="false" ht="15.75" hidden="false" customHeight="false" outlineLevel="0" collapsed="false">
      <c r="AC697" s="2"/>
      <c r="AD697" s="3"/>
    </row>
    <row r="698" customFormat="false" ht="15.75" hidden="false" customHeight="false" outlineLevel="0" collapsed="false">
      <c r="AC698" s="2"/>
      <c r="AD698" s="3"/>
    </row>
    <row r="699" customFormat="false" ht="15.75" hidden="false" customHeight="false" outlineLevel="0" collapsed="false">
      <c r="AC699" s="2"/>
      <c r="AD699" s="3"/>
    </row>
    <row r="700" customFormat="false" ht="15.75" hidden="false" customHeight="false" outlineLevel="0" collapsed="false">
      <c r="AC700" s="2"/>
      <c r="AD700" s="3"/>
    </row>
    <row r="701" customFormat="false" ht="15.75" hidden="false" customHeight="false" outlineLevel="0" collapsed="false">
      <c r="AC701" s="2"/>
      <c r="AD701" s="3"/>
    </row>
    <row r="702" customFormat="false" ht="15.75" hidden="false" customHeight="false" outlineLevel="0" collapsed="false">
      <c r="AC702" s="2"/>
      <c r="AD702" s="3"/>
    </row>
    <row r="703" customFormat="false" ht="15.75" hidden="false" customHeight="false" outlineLevel="0" collapsed="false">
      <c r="AC703" s="2"/>
      <c r="AD703" s="3"/>
    </row>
    <row r="704" customFormat="false" ht="15.75" hidden="false" customHeight="false" outlineLevel="0" collapsed="false">
      <c r="AC704" s="2"/>
      <c r="AD704" s="3"/>
    </row>
    <row r="705" customFormat="false" ht="15.75" hidden="false" customHeight="false" outlineLevel="0" collapsed="false">
      <c r="AC705" s="2"/>
      <c r="AD705" s="3"/>
    </row>
    <row r="706" customFormat="false" ht="15.75" hidden="false" customHeight="false" outlineLevel="0" collapsed="false">
      <c r="AC706" s="2"/>
      <c r="AD706" s="3"/>
    </row>
    <row r="707" customFormat="false" ht="15.75" hidden="false" customHeight="false" outlineLevel="0" collapsed="false">
      <c r="AC707" s="2"/>
      <c r="AD707" s="3"/>
    </row>
    <row r="708" customFormat="false" ht="15.75" hidden="false" customHeight="false" outlineLevel="0" collapsed="false">
      <c r="AC708" s="2"/>
      <c r="AD708" s="3"/>
    </row>
    <row r="709" customFormat="false" ht="15.75" hidden="false" customHeight="false" outlineLevel="0" collapsed="false">
      <c r="AC709" s="2"/>
      <c r="AD709" s="3"/>
    </row>
    <row r="710" customFormat="false" ht="15.75" hidden="false" customHeight="false" outlineLevel="0" collapsed="false">
      <c r="AC710" s="2"/>
      <c r="AD710" s="3"/>
    </row>
    <row r="711" customFormat="false" ht="15.75" hidden="false" customHeight="false" outlineLevel="0" collapsed="false">
      <c r="AC711" s="2"/>
      <c r="AD711" s="3"/>
    </row>
    <row r="712" customFormat="false" ht="15.75" hidden="false" customHeight="false" outlineLevel="0" collapsed="false">
      <c r="AC712" s="2"/>
      <c r="AD712" s="3"/>
    </row>
    <row r="713" customFormat="false" ht="15.75" hidden="false" customHeight="false" outlineLevel="0" collapsed="false">
      <c r="AC713" s="2"/>
      <c r="AD713" s="3"/>
    </row>
    <row r="714" customFormat="false" ht="15.75" hidden="false" customHeight="false" outlineLevel="0" collapsed="false">
      <c r="AC714" s="2"/>
      <c r="AD714" s="3"/>
    </row>
    <row r="715" customFormat="false" ht="15.75" hidden="false" customHeight="false" outlineLevel="0" collapsed="false">
      <c r="AC715" s="2"/>
      <c r="AD715" s="3"/>
    </row>
    <row r="716" customFormat="false" ht="15.75" hidden="false" customHeight="false" outlineLevel="0" collapsed="false">
      <c r="AC716" s="2"/>
      <c r="AD716" s="3"/>
    </row>
    <row r="717" customFormat="false" ht="15.75" hidden="false" customHeight="false" outlineLevel="0" collapsed="false">
      <c r="AC717" s="2"/>
      <c r="AD717" s="3"/>
    </row>
    <row r="718" customFormat="false" ht="15.75" hidden="false" customHeight="false" outlineLevel="0" collapsed="false">
      <c r="AC718" s="2"/>
      <c r="AD718" s="3"/>
    </row>
    <row r="719" customFormat="false" ht="15.75" hidden="false" customHeight="false" outlineLevel="0" collapsed="false">
      <c r="AC719" s="2"/>
      <c r="AD719" s="3"/>
    </row>
    <row r="720" customFormat="false" ht="15.75" hidden="false" customHeight="false" outlineLevel="0" collapsed="false">
      <c r="AC720" s="2"/>
      <c r="AD720" s="3"/>
    </row>
    <row r="721" customFormat="false" ht="15.75" hidden="false" customHeight="false" outlineLevel="0" collapsed="false">
      <c r="AC721" s="2"/>
      <c r="AD721" s="3"/>
    </row>
    <row r="722" customFormat="false" ht="15.75" hidden="false" customHeight="false" outlineLevel="0" collapsed="false">
      <c r="AC722" s="2"/>
      <c r="AD722" s="3"/>
    </row>
    <row r="723" customFormat="false" ht="15.75" hidden="false" customHeight="false" outlineLevel="0" collapsed="false">
      <c r="AC723" s="2"/>
      <c r="AD723" s="3"/>
    </row>
    <row r="724" customFormat="false" ht="15.75" hidden="false" customHeight="false" outlineLevel="0" collapsed="false">
      <c r="AC724" s="2"/>
      <c r="AD724" s="3"/>
    </row>
    <row r="725" customFormat="false" ht="15.75" hidden="false" customHeight="false" outlineLevel="0" collapsed="false">
      <c r="AC725" s="2"/>
      <c r="AD725" s="3"/>
    </row>
    <row r="726" customFormat="false" ht="15.75" hidden="false" customHeight="false" outlineLevel="0" collapsed="false">
      <c r="AC726" s="2"/>
      <c r="AD726" s="3"/>
    </row>
    <row r="727" customFormat="false" ht="15.75" hidden="false" customHeight="false" outlineLevel="0" collapsed="false">
      <c r="AC727" s="2"/>
      <c r="AD727" s="3"/>
    </row>
    <row r="728" customFormat="false" ht="15.75" hidden="false" customHeight="false" outlineLevel="0" collapsed="false">
      <c r="AC728" s="2"/>
      <c r="AD728" s="3"/>
    </row>
    <row r="729" customFormat="false" ht="15.75" hidden="false" customHeight="false" outlineLevel="0" collapsed="false">
      <c r="AC729" s="2"/>
      <c r="AD729" s="3"/>
    </row>
    <row r="730" customFormat="false" ht="15.75" hidden="false" customHeight="false" outlineLevel="0" collapsed="false">
      <c r="AC730" s="2"/>
      <c r="AD730" s="3"/>
    </row>
    <row r="731" customFormat="false" ht="15.75" hidden="false" customHeight="false" outlineLevel="0" collapsed="false">
      <c r="AC731" s="2"/>
      <c r="AD731" s="3"/>
    </row>
    <row r="732" customFormat="false" ht="15.75" hidden="false" customHeight="false" outlineLevel="0" collapsed="false">
      <c r="AC732" s="2"/>
      <c r="AD732" s="3"/>
    </row>
    <row r="733" customFormat="false" ht="15.75" hidden="false" customHeight="false" outlineLevel="0" collapsed="false">
      <c r="AC733" s="2"/>
      <c r="AD733" s="3"/>
    </row>
    <row r="734" customFormat="false" ht="15.75" hidden="false" customHeight="false" outlineLevel="0" collapsed="false">
      <c r="AC734" s="2"/>
      <c r="AD734" s="3"/>
    </row>
    <row r="735" customFormat="false" ht="15.75" hidden="false" customHeight="false" outlineLevel="0" collapsed="false">
      <c r="AC735" s="2"/>
      <c r="AD735" s="3"/>
    </row>
    <row r="736" customFormat="false" ht="15.75" hidden="false" customHeight="false" outlineLevel="0" collapsed="false">
      <c r="AC736" s="2"/>
      <c r="AD736" s="3"/>
    </row>
    <row r="737" customFormat="false" ht="15.75" hidden="false" customHeight="false" outlineLevel="0" collapsed="false">
      <c r="AC737" s="2"/>
      <c r="AD737" s="3"/>
    </row>
    <row r="738" customFormat="false" ht="15.75" hidden="false" customHeight="false" outlineLevel="0" collapsed="false">
      <c r="AC738" s="2"/>
      <c r="AD738" s="3"/>
    </row>
    <row r="739" customFormat="false" ht="15.75" hidden="false" customHeight="false" outlineLevel="0" collapsed="false">
      <c r="AC739" s="2"/>
      <c r="AD739" s="3"/>
    </row>
    <row r="740" customFormat="false" ht="15.75" hidden="false" customHeight="false" outlineLevel="0" collapsed="false">
      <c r="AC740" s="2"/>
      <c r="AD740" s="3"/>
    </row>
    <row r="741" customFormat="false" ht="15.75" hidden="false" customHeight="false" outlineLevel="0" collapsed="false">
      <c r="AC741" s="2"/>
      <c r="AD741" s="3"/>
    </row>
    <row r="742" customFormat="false" ht="15.75" hidden="false" customHeight="false" outlineLevel="0" collapsed="false">
      <c r="AC742" s="2"/>
      <c r="AD742" s="3"/>
    </row>
    <row r="743" customFormat="false" ht="15.75" hidden="false" customHeight="false" outlineLevel="0" collapsed="false">
      <c r="AC743" s="2"/>
      <c r="AD743" s="3"/>
    </row>
    <row r="744" customFormat="false" ht="15.75" hidden="false" customHeight="false" outlineLevel="0" collapsed="false">
      <c r="AC744" s="2"/>
      <c r="AD744" s="3"/>
    </row>
    <row r="745" customFormat="false" ht="15.75" hidden="false" customHeight="false" outlineLevel="0" collapsed="false">
      <c r="AC745" s="2"/>
      <c r="AD745" s="3"/>
    </row>
    <row r="746" customFormat="false" ht="15.75" hidden="false" customHeight="false" outlineLevel="0" collapsed="false">
      <c r="AC746" s="2"/>
      <c r="AD746" s="3"/>
    </row>
    <row r="747" customFormat="false" ht="15.75" hidden="false" customHeight="false" outlineLevel="0" collapsed="false">
      <c r="AC747" s="2"/>
      <c r="AD747" s="3"/>
    </row>
    <row r="748" customFormat="false" ht="15.75" hidden="false" customHeight="false" outlineLevel="0" collapsed="false">
      <c r="AC748" s="2"/>
      <c r="AD748" s="3"/>
    </row>
    <row r="749" customFormat="false" ht="15.75" hidden="false" customHeight="false" outlineLevel="0" collapsed="false">
      <c r="AC749" s="2"/>
      <c r="AD749" s="3"/>
    </row>
    <row r="750" customFormat="false" ht="15.75" hidden="false" customHeight="false" outlineLevel="0" collapsed="false">
      <c r="AC750" s="2"/>
      <c r="AD750" s="3"/>
    </row>
    <row r="751" customFormat="false" ht="15.75" hidden="false" customHeight="false" outlineLevel="0" collapsed="false">
      <c r="AC751" s="2"/>
      <c r="AD751" s="3"/>
    </row>
    <row r="752" customFormat="false" ht="15.75" hidden="false" customHeight="false" outlineLevel="0" collapsed="false">
      <c r="AC752" s="2"/>
      <c r="AD752" s="3"/>
    </row>
    <row r="753" customFormat="false" ht="15.75" hidden="false" customHeight="false" outlineLevel="0" collapsed="false">
      <c r="AC753" s="2"/>
      <c r="AD753" s="3"/>
    </row>
    <row r="754" customFormat="false" ht="15.75" hidden="false" customHeight="false" outlineLevel="0" collapsed="false">
      <c r="AC754" s="2"/>
      <c r="AD754" s="3"/>
    </row>
    <row r="755" customFormat="false" ht="15.75" hidden="false" customHeight="false" outlineLevel="0" collapsed="false">
      <c r="AC755" s="2"/>
      <c r="AD755" s="3"/>
    </row>
    <row r="756" customFormat="false" ht="15.75" hidden="false" customHeight="false" outlineLevel="0" collapsed="false">
      <c r="AC756" s="2"/>
      <c r="AD756" s="3"/>
    </row>
    <row r="757" customFormat="false" ht="15.75" hidden="false" customHeight="false" outlineLevel="0" collapsed="false">
      <c r="AC757" s="2"/>
      <c r="AD757" s="3"/>
    </row>
    <row r="758" customFormat="false" ht="15.75" hidden="false" customHeight="false" outlineLevel="0" collapsed="false">
      <c r="AC758" s="2"/>
      <c r="AD758" s="3"/>
    </row>
    <row r="759" customFormat="false" ht="15.75" hidden="false" customHeight="false" outlineLevel="0" collapsed="false">
      <c r="AC759" s="2"/>
      <c r="AD759" s="3"/>
    </row>
    <row r="760" customFormat="false" ht="15.75" hidden="false" customHeight="false" outlineLevel="0" collapsed="false">
      <c r="AC760" s="2"/>
      <c r="AD760" s="3"/>
    </row>
    <row r="761" customFormat="false" ht="15.75" hidden="false" customHeight="false" outlineLevel="0" collapsed="false">
      <c r="AC761" s="2"/>
      <c r="AD761" s="3"/>
    </row>
    <row r="762" customFormat="false" ht="15.75" hidden="false" customHeight="false" outlineLevel="0" collapsed="false">
      <c r="AC762" s="2"/>
      <c r="AD762" s="3"/>
    </row>
    <row r="763" customFormat="false" ht="15.75" hidden="false" customHeight="false" outlineLevel="0" collapsed="false">
      <c r="AC763" s="2"/>
      <c r="AD763" s="3"/>
    </row>
    <row r="764" customFormat="false" ht="15.75" hidden="false" customHeight="false" outlineLevel="0" collapsed="false">
      <c r="AC764" s="2"/>
      <c r="AD764" s="3"/>
    </row>
    <row r="765" customFormat="false" ht="15.75" hidden="false" customHeight="false" outlineLevel="0" collapsed="false">
      <c r="AC765" s="2"/>
      <c r="AD765" s="3"/>
    </row>
    <row r="766" customFormat="false" ht="15.75" hidden="false" customHeight="false" outlineLevel="0" collapsed="false">
      <c r="AC766" s="2"/>
      <c r="AD766" s="3"/>
    </row>
    <row r="767" customFormat="false" ht="15.75" hidden="false" customHeight="false" outlineLevel="0" collapsed="false">
      <c r="AC767" s="2"/>
      <c r="AD767" s="3"/>
    </row>
    <row r="768" customFormat="false" ht="15.75" hidden="false" customHeight="false" outlineLevel="0" collapsed="false">
      <c r="AC768" s="2"/>
      <c r="AD768" s="3"/>
    </row>
    <row r="769" customFormat="false" ht="15.75" hidden="false" customHeight="false" outlineLevel="0" collapsed="false">
      <c r="AC769" s="2"/>
      <c r="AD769" s="3"/>
    </row>
    <row r="770" customFormat="false" ht="15.75" hidden="false" customHeight="false" outlineLevel="0" collapsed="false">
      <c r="AC770" s="2"/>
      <c r="AD770" s="3"/>
    </row>
    <row r="771" customFormat="false" ht="15.75" hidden="false" customHeight="false" outlineLevel="0" collapsed="false">
      <c r="AC771" s="2"/>
      <c r="AD771" s="3"/>
    </row>
    <row r="772" customFormat="false" ht="15.75" hidden="false" customHeight="false" outlineLevel="0" collapsed="false">
      <c r="AC772" s="2"/>
      <c r="AD772" s="3"/>
    </row>
    <row r="773" customFormat="false" ht="15.75" hidden="false" customHeight="false" outlineLevel="0" collapsed="false">
      <c r="AC773" s="2"/>
      <c r="AD773" s="3"/>
    </row>
    <row r="774" customFormat="false" ht="15.75" hidden="false" customHeight="false" outlineLevel="0" collapsed="false">
      <c r="AC774" s="2"/>
      <c r="AD774" s="3"/>
    </row>
    <row r="775" customFormat="false" ht="15.75" hidden="false" customHeight="false" outlineLevel="0" collapsed="false">
      <c r="AC775" s="2"/>
      <c r="AD775" s="3"/>
    </row>
    <row r="776" customFormat="false" ht="15.75" hidden="false" customHeight="false" outlineLevel="0" collapsed="false">
      <c r="AC776" s="2"/>
      <c r="AD776" s="3"/>
    </row>
    <row r="777" customFormat="false" ht="15.75" hidden="false" customHeight="false" outlineLevel="0" collapsed="false">
      <c r="AC777" s="2"/>
      <c r="AD777" s="3"/>
    </row>
    <row r="778" customFormat="false" ht="15.75" hidden="false" customHeight="false" outlineLevel="0" collapsed="false">
      <c r="AC778" s="2"/>
      <c r="AD778" s="3"/>
    </row>
    <row r="779" customFormat="false" ht="15.75" hidden="false" customHeight="false" outlineLevel="0" collapsed="false">
      <c r="AC779" s="2"/>
      <c r="AD779" s="3"/>
    </row>
    <row r="780" customFormat="false" ht="15.75" hidden="false" customHeight="false" outlineLevel="0" collapsed="false">
      <c r="AC780" s="2"/>
      <c r="AD780" s="3"/>
    </row>
    <row r="781" customFormat="false" ht="15.75" hidden="false" customHeight="false" outlineLevel="0" collapsed="false">
      <c r="AC781" s="2"/>
      <c r="AD781" s="3"/>
    </row>
    <row r="782" customFormat="false" ht="15.75" hidden="false" customHeight="false" outlineLevel="0" collapsed="false">
      <c r="AC782" s="2"/>
      <c r="AD782" s="3"/>
    </row>
    <row r="783" customFormat="false" ht="15.75" hidden="false" customHeight="false" outlineLevel="0" collapsed="false">
      <c r="AC783" s="2"/>
      <c r="AD783" s="3"/>
    </row>
    <row r="784" customFormat="false" ht="15.75" hidden="false" customHeight="false" outlineLevel="0" collapsed="false">
      <c r="AC784" s="2"/>
      <c r="AD784" s="3"/>
    </row>
    <row r="785" customFormat="false" ht="15.75" hidden="false" customHeight="false" outlineLevel="0" collapsed="false">
      <c r="AC785" s="2"/>
      <c r="AD785" s="3"/>
    </row>
    <row r="786" customFormat="false" ht="15.75" hidden="false" customHeight="false" outlineLevel="0" collapsed="false">
      <c r="AC786" s="2"/>
      <c r="AD786" s="3"/>
    </row>
    <row r="787" customFormat="false" ht="15.75" hidden="false" customHeight="false" outlineLevel="0" collapsed="false">
      <c r="AC787" s="2"/>
      <c r="AD787" s="3"/>
    </row>
    <row r="788" customFormat="false" ht="15.75" hidden="false" customHeight="false" outlineLevel="0" collapsed="false">
      <c r="AC788" s="2"/>
      <c r="AD788" s="3"/>
    </row>
    <row r="789" customFormat="false" ht="15.75" hidden="false" customHeight="false" outlineLevel="0" collapsed="false">
      <c r="AC789" s="2"/>
      <c r="AD789" s="3"/>
    </row>
    <row r="790" customFormat="false" ht="15.75" hidden="false" customHeight="false" outlineLevel="0" collapsed="false">
      <c r="AC790" s="2"/>
      <c r="AD790" s="3"/>
    </row>
    <row r="791" customFormat="false" ht="15.75" hidden="false" customHeight="false" outlineLevel="0" collapsed="false">
      <c r="AC791" s="2"/>
      <c r="AD791" s="3"/>
    </row>
    <row r="792" customFormat="false" ht="15.75" hidden="false" customHeight="false" outlineLevel="0" collapsed="false">
      <c r="AC792" s="2"/>
      <c r="AD792" s="3"/>
    </row>
    <row r="793" customFormat="false" ht="15.75" hidden="false" customHeight="false" outlineLevel="0" collapsed="false">
      <c r="AC793" s="2"/>
      <c r="AD793" s="3"/>
    </row>
    <row r="794" customFormat="false" ht="15.75" hidden="false" customHeight="false" outlineLevel="0" collapsed="false">
      <c r="AC794" s="2"/>
      <c r="AD794" s="3"/>
    </row>
    <row r="795" customFormat="false" ht="15.75" hidden="false" customHeight="false" outlineLevel="0" collapsed="false">
      <c r="AC795" s="2"/>
      <c r="AD795" s="3"/>
    </row>
    <row r="796" customFormat="false" ht="15.75" hidden="false" customHeight="false" outlineLevel="0" collapsed="false">
      <c r="AC796" s="2"/>
      <c r="AD796" s="3"/>
    </row>
    <row r="797" customFormat="false" ht="15.75" hidden="false" customHeight="false" outlineLevel="0" collapsed="false">
      <c r="AC797" s="2"/>
      <c r="AD797" s="3"/>
    </row>
    <row r="798" customFormat="false" ht="15.75" hidden="false" customHeight="false" outlineLevel="0" collapsed="false">
      <c r="AC798" s="2"/>
      <c r="AD798" s="3"/>
    </row>
    <row r="799" customFormat="false" ht="15.75" hidden="false" customHeight="false" outlineLevel="0" collapsed="false">
      <c r="AC799" s="2"/>
      <c r="AD799" s="3"/>
    </row>
    <row r="800" customFormat="false" ht="15.75" hidden="false" customHeight="false" outlineLevel="0" collapsed="false">
      <c r="AC800" s="2"/>
      <c r="AD800" s="3"/>
    </row>
    <row r="801" customFormat="false" ht="15.75" hidden="false" customHeight="false" outlineLevel="0" collapsed="false">
      <c r="AC801" s="2"/>
      <c r="AD801" s="3"/>
    </row>
    <row r="802" customFormat="false" ht="15.75" hidden="false" customHeight="false" outlineLevel="0" collapsed="false">
      <c r="AC802" s="2"/>
      <c r="AD802" s="3"/>
    </row>
    <row r="803" customFormat="false" ht="15.75" hidden="false" customHeight="false" outlineLevel="0" collapsed="false">
      <c r="AC803" s="2"/>
      <c r="AD803" s="3"/>
    </row>
    <row r="804" customFormat="false" ht="15.75" hidden="false" customHeight="false" outlineLevel="0" collapsed="false">
      <c r="AC804" s="2"/>
      <c r="AD804" s="3"/>
    </row>
    <row r="805" customFormat="false" ht="15.75" hidden="false" customHeight="false" outlineLevel="0" collapsed="false">
      <c r="AC805" s="2"/>
      <c r="AD805" s="3"/>
    </row>
    <row r="806" customFormat="false" ht="15.75" hidden="false" customHeight="false" outlineLevel="0" collapsed="false">
      <c r="AC806" s="2"/>
      <c r="AD806" s="3"/>
    </row>
    <row r="807" customFormat="false" ht="15.75" hidden="false" customHeight="false" outlineLevel="0" collapsed="false">
      <c r="AC807" s="2"/>
      <c r="AD807" s="3"/>
    </row>
    <row r="808" customFormat="false" ht="15.75" hidden="false" customHeight="false" outlineLevel="0" collapsed="false">
      <c r="AC808" s="2"/>
      <c r="AD808" s="3"/>
    </row>
    <row r="809" customFormat="false" ht="15.75" hidden="false" customHeight="false" outlineLevel="0" collapsed="false">
      <c r="AC809" s="2"/>
      <c r="AD809" s="3"/>
    </row>
    <row r="810" customFormat="false" ht="15.75" hidden="false" customHeight="false" outlineLevel="0" collapsed="false">
      <c r="AC810" s="2"/>
      <c r="AD810" s="3"/>
    </row>
    <row r="811" customFormat="false" ht="15.75" hidden="false" customHeight="false" outlineLevel="0" collapsed="false">
      <c r="AC811" s="2"/>
      <c r="AD811" s="3"/>
    </row>
    <row r="812" customFormat="false" ht="15.75" hidden="false" customHeight="false" outlineLevel="0" collapsed="false">
      <c r="AC812" s="2"/>
      <c r="AD812" s="3"/>
    </row>
    <row r="813" customFormat="false" ht="15.75" hidden="false" customHeight="false" outlineLevel="0" collapsed="false">
      <c r="AC813" s="2"/>
      <c r="AD813" s="3"/>
    </row>
    <row r="814" customFormat="false" ht="15.75" hidden="false" customHeight="false" outlineLevel="0" collapsed="false">
      <c r="AC814" s="2"/>
      <c r="AD814" s="3"/>
    </row>
    <row r="815" customFormat="false" ht="15.75" hidden="false" customHeight="false" outlineLevel="0" collapsed="false">
      <c r="AC815" s="2"/>
      <c r="AD815" s="3"/>
    </row>
    <row r="816" customFormat="false" ht="15.75" hidden="false" customHeight="false" outlineLevel="0" collapsed="false">
      <c r="AC816" s="2"/>
      <c r="AD816" s="3"/>
    </row>
    <row r="817" customFormat="false" ht="15.75" hidden="false" customHeight="false" outlineLevel="0" collapsed="false">
      <c r="AC817" s="2"/>
      <c r="AD817" s="3"/>
    </row>
    <row r="818" customFormat="false" ht="15.75" hidden="false" customHeight="false" outlineLevel="0" collapsed="false">
      <c r="AC818" s="2"/>
      <c r="AD818" s="3"/>
    </row>
    <row r="819" customFormat="false" ht="15.75" hidden="false" customHeight="false" outlineLevel="0" collapsed="false">
      <c r="AC819" s="2"/>
      <c r="AD819" s="3"/>
    </row>
    <row r="820" customFormat="false" ht="15.75" hidden="false" customHeight="false" outlineLevel="0" collapsed="false">
      <c r="AC820" s="2"/>
      <c r="AD820" s="3"/>
    </row>
    <row r="821" customFormat="false" ht="15.75" hidden="false" customHeight="false" outlineLevel="0" collapsed="false">
      <c r="AC821" s="2"/>
      <c r="AD821" s="3"/>
    </row>
    <row r="822" customFormat="false" ht="15.75" hidden="false" customHeight="false" outlineLevel="0" collapsed="false">
      <c r="AC822" s="2"/>
      <c r="AD822" s="3"/>
    </row>
    <row r="823" customFormat="false" ht="15.75" hidden="false" customHeight="false" outlineLevel="0" collapsed="false">
      <c r="AC823" s="2"/>
      <c r="AD823" s="3"/>
    </row>
    <row r="824" customFormat="false" ht="15.75" hidden="false" customHeight="false" outlineLevel="0" collapsed="false">
      <c r="AC824" s="2"/>
      <c r="AD824" s="3"/>
    </row>
    <row r="825" customFormat="false" ht="15.75" hidden="false" customHeight="false" outlineLevel="0" collapsed="false">
      <c r="AC825" s="2"/>
      <c r="AD825" s="3"/>
    </row>
    <row r="826" customFormat="false" ht="15.75" hidden="false" customHeight="false" outlineLevel="0" collapsed="false">
      <c r="AC826" s="2"/>
      <c r="AD826" s="3"/>
    </row>
    <row r="827" customFormat="false" ht="15.75" hidden="false" customHeight="false" outlineLevel="0" collapsed="false">
      <c r="AC827" s="2"/>
      <c r="AD827" s="3"/>
    </row>
    <row r="828" customFormat="false" ht="15.75" hidden="false" customHeight="false" outlineLevel="0" collapsed="false">
      <c r="AC828" s="2"/>
      <c r="AD828" s="3"/>
    </row>
    <row r="829" customFormat="false" ht="15.75" hidden="false" customHeight="false" outlineLevel="0" collapsed="false">
      <c r="AC829" s="2"/>
      <c r="AD829" s="3"/>
    </row>
    <row r="830" customFormat="false" ht="15.75" hidden="false" customHeight="false" outlineLevel="0" collapsed="false">
      <c r="AC830" s="2"/>
      <c r="AD830" s="3"/>
    </row>
    <row r="831" customFormat="false" ht="15.75" hidden="false" customHeight="false" outlineLevel="0" collapsed="false">
      <c r="AC831" s="2"/>
      <c r="AD831" s="3"/>
    </row>
    <row r="832" customFormat="false" ht="15.75" hidden="false" customHeight="false" outlineLevel="0" collapsed="false">
      <c r="AC832" s="2"/>
      <c r="AD832" s="3"/>
    </row>
    <row r="833" customFormat="false" ht="15.75" hidden="false" customHeight="false" outlineLevel="0" collapsed="false">
      <c r="AC833" s="2"/>
      <c r="AD833" s="3"/>
    </row>
    <row r="834" customFormat="false" ht="15.75" hidden="false" customHeight="false" outlineLevel="0" collapsed="false">
      <c r="AC834" s="2"/>
      <c r="AD834" s="3"/>
    </row>
    <row r="835" customFormat="false" ht="15.75" hidden="false" customHeight="false" outlineLevel="0" collapsed="false">
      <c r="AC835" s="2"/>
      <c r="AD835" s="3"/>
    </row>
    <row r="836" customFormat="false" ht="15.75" hidden="false" customHeight="false" outlineLevel="0" collapsed="false">
      <c r="AC836" s="2"/>
      <c r="AD836" s="3"/>
    </row>
    <row r="837" customFormat="false" ht="15.75" hidden="false" customHeight="false" outlineLevel="0" collapsed="false">
      <c r="AC837" s="2"/>
      <c r="AD837" s="3"/>
    </row>
    <row r="838" customFormat="false" ht="15.75" hidden="false" customHeight="false" outlineLevel="0" collapsed="false">
      <c r="AC838" s="2"/>
      <c r="AD838" s="3"/>
    </row>
    <row r="839" customFormat="false" ht="15.75" hidden="false" customHeight="false" outlineLevel="0" collapsed="false">
      <c r="AC839" s="2"/>
      <c r="AD839" s="3"/>
    </row>
    <row r="840" customFormat="false" ht="15.75" hidden="false" customHeight="false" outlineLevel="0" collapsed="false">
      <c r="AC840" s="2"/>
      <c r="AD840" s="3"/>
    </row>
    <row r="841" customFormat="false" ht="15.75" hidden="false" customHeight="false" outlineLevel="0" collapsed="false">
      <c r="AC841" s="2"/>
      <c r="AD841" s="3"/>
    </row>
    <row r="842" customFormat="false" ht="15.75" hidden="false" customHeight="false" outlineLevel="0" collapsed="false">
      <c r="AC842" s="2"/>
      <c r="AD842" s="3"/>
    </row>
    <row r="843" customFormat="false" ht="15.75" hidden="false" customHeight="false" outlineLevel="0" collapsed="false">
      <c r="AC843" s="2"/>
      <c r="AD843" s="3"/>
    </row>
    <row r="844" customFormat="false" ht="15.75" hidden="false" customHeight="false" outlineLevel="0" collapsed="false">
      <c r="AC844" s="2"/>
      <c r="AD844" s="3"/>
    </row>
    <row r="845" customFormat="false" ht="15.75" hidden="false" customHeight="false" outlineLevel="0" collapsed="false">
      <c r="AC845" s="2"/>
      <c r="AD845" s="3"/>
    </row>
    <row r="846" customFormat="false" ht="15.75" hidden="false" customHeight="false" outlineLevel="0" collapsed="false">
      <c r="AC846" s="2"/>
      <c r="AD846" s="3"/>
    </row>
    <row r="847" customFormat="false" ht="15.75" hidden="false" customHeight="false" outlineLevel="0" collapsed="false">
      <c r="AC847" s="2"/>
      <c r="AD847" s="3"/>
    </row>
    <row r="848" customFormat="false" ht="15.75" hidden="false" customHeight="false" outlineLevel="0" collapsed="false">
      <c r="AC848" s="2"/>
      <c r="AD848" s="3"/>
    </row>
    <row r="849" customFormat="false" ht="15.75" hidden="false" customHeight="false" outlineLevel="0" collapsed="false">
      <c r="AC849" s="2"/>
      <c r="AD849" s="3"/>
    </row>
    <row r="850" customFormat="false" ht="15.75" hidden="false" customHeight="false" outlineLevel="0" collapsed="false">
      <c r="AC850" s="2"/>
      <c r="AD850" s="3"/>
    </row>
    <row r="851" customFormat="false" ht="15.75" hidden="false" customHeight="false" outlineLevel="0" collapsed="false">
      <c r="AC851" s="2"/>
      <c r="AD851" s="3"/>
    </row>
    <row r="852" customFormat="false" ht="15.75" hidden="false" customHeight="false" outlineLevel="0" collapsed="false">
      <c r="AC852" s="2"/>
      <c r="AD852" s="3"/>
    </row>
    <row r="853" customFormat="false" ht="15.75" hidden="false" customHeight="false" outlineLevel="0" collapsed="false">
      <c r="AC853" s="2"/>
      <c r="AD853" s="3"/>
    </row>
    <row r="854" customFormat="false" ht="15.75" hidden="false" customHeight="false" outlineLevel="0" collapsed="false">
      <c r="AC854" s="2"/>
      <c r="AD854" s="3"/>
    </row>
    <row r="855" customFormat="false" ht="15.75" hidden="false" customHeight="false" outlineLevel="0" collapsed="false">
      <c r="AC855" s="2"/>
      <c r="AD855" s="3"/>
    </row>
    <row r="856" customFormat="false" ht="15.75" hidden="false" customHeight="false" outlineLevel="0" collapsed="false">
      <c r="AC856" s="2"/>
      <c r="AD856" s="3"/>
    </row>
    <row r="857" customFormat="false" ht="15.75" hidden="false" customHeight="false" outlineLevel="0" collapsed="false">
      <c r="AC857" s="2"/>
      <c r="AD857" s="3"/>
    </row>
    <row r="858" customFormat="false" ht="15.75" hidden="false" customHeight="false" outlineLevel="0" collapsed="false">
      <c r="AC858" s="2"/>
      <c r="AD858" s="3"/>
    </row>
    <row r="859" customFormat="false" ht="15.75" hidden="false" customHeight="false" outlineLevel="0" collapsed="false">
      <c r="AC859" s="2"/>
      <c r="AD859" s="3"/>
    </row>
    <row r="860" customFormat="false" ht="15.75" hidden="false" customHeight="false" outlineLevel="0" collapsed="false">
      <c r="AC860" s="2"/>
      <c r="AD860" s="3"/>
    </row>
    <row r="861" customFormat="false" ht="15.75" hidden="false" customHeight="false" outlineLevel="0" collapsed="false">
      <c r="AC861" s="2"/>
      <c r="AD861" s="3"/>
    </row>
    <row r="862" customFormat="false" ht="15.75" hidden="false" customHeight="false" outlineLevel="0" collapsed="false">
      <c r="AC862" s="2"/>
      <c r="AD862" s="3"/>
    </row>
    <row r="863" customFormat="false" ht="15.75" hidden="false" customHeight="false" outlineLevel="0" collapsed="false">
      <c r="AC863" s="2"/>
      <c r="AD863" s="3"/>
    </row>
    <row r="864" customFormat="false" ht="15.75" hidden="false" customHeight="false" outlineLevel="0" collapsed="false">
      <c r="AC864" s="2"/>
      <c r="AD864" s="3"/>
    </row>
    <row r="865" customFormat="false" ht="15.75" hidden="false" customHeight="false" outlineLevel="0" collapsed="false">
      <c r="AC865" s="2"/>
      <c r="AD865" s="3"/>
    </row>
    <row r="866" customFormat="false" ht="15.75" hidden="false" customHeight="false" outlineLevel="0" collapsed="false">
      <c r="AC866" s="2"/>
      <c r="AD866" s="3"/>
    </row>
    <row r="867" customFormat="false" ht="15.75" hidden="false" customHeight="false" outlineLevel="0" collapsed="false">
      <c r="AC867" s="2"/>
      <c r="AD867" s="3"/>
    </row>
    <row r="868" customFormat="false" ht="15.75" hidden="false" customHeight="false" outlineLevel="0" collapsed="false">
      <c r="AC868" s="2"/>
      <c r="AD868" s="3"/>
    </row>
    <row r="869" customFormat="false" ht="15.75" hidden="false" customHeight="false" outlineLevel="0" collapsed="false">
      <c r="AC869" s="2"/>
      <c r="AD869" s="3"/>
    </row>
    <row r="870" customFormat="false" ht="15.75" hidden="false" customHeight="false" outlineLevel="0" collapsed="false">
      <c r="AC870" s="2"/>
      <c r="AD870" s="3"/>
    </row>
    <row r="871" customFormat="false" ht="15.75" hidden="false" customHeight="false" outlineLevel="0" collapsed="false">
      <c r="AC871" s="2"/>
      <c r="AD871" s="3"/>
    </row>
    <row r="872" customFormat="false" ht="15.75" hidden="false" customHeight="false" outlineLevel="0" collapsed="false">
      <c r="AC872" s="2"/>
      <c r="AD872" s="3"/>
    </row>
    <row r="873" customFormat="false" ht="15.75" hidden="false" customHeight="false" outlineLevel="0" collapsed="false">
      <c r="AC873" s="2"/>
      <c r="AD873" s="3"/>
    </row>
    <row r="874" customFormat="false" ht="15.75" hidden="false" customHeight="false" outlineLevel="0" collapsed="false">
      <c r="AC874" s="2"/>
      <c r="AD874" s="3"/>
    </row>
    <row r="875" customFormat="false" ht="15.75" hidden="false" customHeight="false" outlineLevel="0" collapsed="false">
      <c r="AC875" s="2"/>
      <c r="AD875" s="3"/>
    </row>
    <row r="876" customFormat="false" ht="15.75" hidden="false" customHeight="false" outlineLevel="0" collapsed="false">
      <c r="AC876" s="2"/>
      <c r="AD876" s="3"/>
    </row>
    <row r="877" customFormat="false" ht="15.75" hidden="false" customHeight="false" outlineLevel="0" collapsed="false">
      <c r="AC877" s="2"/>
      <c r="AD877" s="3"/>
    </row>
    <row r="878" customFormat="false" ht="15.75" hidden="false" customHeight="false" outlineLevel="0" collapsed="false">
      <c r="AC878" s="2"/>
      <c r="AD878" s="3"/>
    </row>
    <row r="879" customFormat="false" ht="15.75" hidden="false" customHeight="false" outlineLevel="0" collapsed="false">
      <c r="AC879" s="2"/>
      <c r="AD879" s="3"/>
    </row>
    <row r="880" customFormat="false" ht="15.75" hidden="false" customHeight="false" outlineLevel="0" collapsed="false">
      <c r="AC880" s="2"/>
      <c r="AD880" s="3"/>
    </row>
    <row r="881" customFormat="false" ht="15.75" hidden="false" customHeight="false" outlineLevel="0" collapsed="false">
      <c r="AC881" s="2"/>
      <c r="AD881" s="3"/>
    </row>
    <row r="882" customFormat="false" ht="15.75" hidden="false" customHeight="false" outlineLevel="0" collapsed="false">
      <c r="AC882" s="2"/>
      <c r="AD882" s="3"/>
    </row>
    <row r="883" customFormat="false" ht="15.75" hidden="false" customHeight="false" outlineLevel="0" collapsed="false">
      <c r="AC883" s="2"/>
      <c r="AD883" s="3"/>
    </row>
    <row r="884" customFormat="false" ht="15.75" hidden="false" customHeight="false" outlineLevel="0" collapsed="false">
      <c r="AC884" s="2"/>
      <c r="AD884" s="3"/>
    </row>
    <row r="885" customFormat="false" ht="15.75" hidden="false" customHeight="false" outlineLevel="0" collapsed="false">
      <c r="AC885" s="2"/>
      <c r="AD885" s="3"/>
    </row>
    <row r="886" customFormat="false" ht="15.75" hidden="false" customHeight="false" outlineLevel="0" collapsed="false">
      <c r="AC886" s="2"/>
      <c r="AD886" s="3"/>
    </row>
    <row r="887" customFormat="false" ht="15.75" hidden="false" customHeight="false" outlineLevel="0" collapsed="false">
      <c r="AC887" s="2"/>
      <c r="AD887" s="3"/>
    </row>
    <row r="888" customFormat="false" ht="15.75" hidden="false" customHeight="false" outlineLevel="0" collapsed="false">
      <c r="AC888" s="2"/>
      <c r="AD888" s="3"/>
    </row>
    <row r="889" customFormat="false" ht="15.75" hidden="false" customHeight="false" outlineLevel="0" collapsed="false">
      <c r="AC889" s="2"/>
      <c r="AD889" s="3"/>
    </row>
    <row r="890" customFormat="false" ht="15.75" hidden="false" customHeight="false" outlineLevel="0" collapsed="false">
      <c r="AC890" s="2"/>
      <c r="AD890" s="3"/>
    </row>
    <row r="891" customFormat="false" ht="15.75" hidden="false" customHeight="false" outlineLevel="0" collapsed="false">
      <c r="AC891" s="2"/>
      <c r="AD891" s="3"/>
    </row>
    <row r="892" customFormat="false" ht="15.75" hidden="false" customHeight="false" outlineLevel="0" collapsed="false">
      <c r="AC892" s="2"/>
      <c r="AD892" s="3"/>
    </row>
    <row r="893" customFormat="false" ht="15.75" hidden="false" customHeight="false" outlineLevel="0" collapsed="false">
      <c r="AC893" s="2"/>
      <c r="AD893" s="3"/>
    </row>
    <row r="894" customFormat="false" ht="15.75" hidden="false" customHeight="false" outlineLevel="0" collapsed="false">
      <c r="AC894" s="2"/>
      <c r="AD894" s="3"/>
    </row>
    <row r="895" customFormat="false" ht="15.75" hidden="false" customHeight="false" outlineLevel="0" collapsed="false">
      <c r="AC895" s="2"/>
      <c r="AD895" s="3"/>
    </row>
    <row r="896" customFormat="false" ht="15.75" hidden="false" customHeight="false" outlineLevel="0" collapsed="false">
      <c r="AC896" s="2"/>
      <c r="AD896" s="3"/>
    </row>
    <row r="897" customFormat="false" ht="15.75" hidden="false" customHeight="false" outlineLevel="0" collapsed="false">
      <c r="AC897" s="2"/>
      <c r="AD897" s="3"/>
    </row>
    <row r="898" customFormat="false" ht="15.75" hidden="false" customHeight="false" outlineLevel="0" collapsed="false">
      <c r="AC898" s="2"/>
      <c r="AD898" s="3"/>
    </row>
    <row r="899" customFormat="false" ht="15.75" hidden="false" customHeight="false" outlineLevel="0" collapsed="false">
      <c r="AC899" s="2"/>
      <c r="AD899" s="3"/>
    </row>
    <row r="900" customFormat="false" ht="15.75" hidden="false" customHeight="false" outlineLevel="0" collapsed="false">
      <c r="AC900" s="2"/>
      <c r="AD900" s="3"/>
    </row>
    <row r="901" customFormat="false" ht="15.75" hidden="false" customHeight="false" outlineLevel="0" collapsed="false">
      <c r="AC901" s="2"/>
      <c r="AD901" s="3"/>
    </row>
    <row r="902" customFormat="false" ht="15.75" hidden="false" customHeight="false" outlineLevel="0" collapsed="false">
      <c r="AC902" s="2"/>
      <c r="AD902" s="3"/>
    </row>
    <row r="903" customFormat="false" ht="15.75" hidden="false" customHeight="false" outlineLevel="0" collapsed="false">
      <c r="AC903" s="2"/>
      <c r="AD903" s="3"/>
    </row>
    <row r="904" customFormat="false" ht="15.75" hidden="false" customHeight="false" outlineLevel="0" collapsed="false">
      <c r="AC904" s="2"/>
      <c r="AD904" s="3"/>
    </row>
    <row r="905" customFormat="false" ht="15.75" hidden="false" customHeight="false" outlineLevel="0" collapsed="false">
      <c r="AC905" s="2"/>
      <c r="AD905" s="3"/>
    </row>
    <row r="906" customFormat="false" ht="15.75" hidden="false" customHeight="false" outlineLevel="0" collapsed="false">
      <c r="AC906" s="2"/>
      <c r="AD906" s="3"/>
    </row>
    <row r="907" customFormat="false" ht="15.75" hidden="false" customHeight="false" outlineLevel="0" collapsed="false">
      <c r="AC907" s="2"/>
      <c r="AD907" s="3"/>
    </row>
    <row r="908" customFormat="false" ht="15.75" hidden="false" customHeight="false" outlineLevel="0" collapsed="false">
      <c r="AC908" s="2"/>
      <c r="AD908" s="3"/>
    </row>
    <row r="909" customFormat="false" ht="15.75" hidden="false" customHeight="false" outlineLevel="0" collapsed="false">
      <c r="AC909" s="2"/>
      <c r="AD909" s="3"/>
    </row>
    <row r="910" customFormat="false" ht="15.75" hidden="false" customHeight="false" outlineLevel="0" collapsed="false">
      <c r="AC910" s="2"/>
      <c r="AD910" s="3"/>
    </row>
    <row r="911" customFormat="false" ht="15.75" hidden="false" customHeight="false" outlineLevel="0" collapsed="false">
      <c r="AC911" s="2"/>
      <c r="AD911" s="3"/>
    </row>
    <row r="912" customFormat="false" ht="15.75" hidden="false" customHeight="false" outlineLevel="0" collapsed="false">
      <c r="AC912" s="2"/>
      <c r="AD912" s="3"/>
    </row>
    <row r="913" customFormat="false" ht="15.75" hidden="false" customHeight="false" outlineLevel="0" collapsed="false">
      <c r="AC913" s="2"/>
      <c r="AD913" s="3"/>
    </row>
    <row r="914" customFormat="false" ht="15.75" hidden="false" customHeight="false" outlineLevel="0" collapsed="false">
      <c r="AC914" s="2"/>
      <c r="AD914" s="3"/>
    </row>
    <row r="915" customFormat="false" ht="15.75" hidden="false" customHeight="false" outlineLevel="0" collapsed="false">
      <c r="AC915" s="2"/>
      <c r="AD915" s="3"/>
    </row>
    <row r="916" customFormat="false" ht="15.75" hidden="false" customHeight="false" outlineLevel="0" collapsed="false">
      <c r="AC916" s="2"/>
      <c r="AD916" s="3"/>
    </row>
    <row r="917" customFormat="false" ht="15.75" hidden="false" customHeight="false" outlineLevel="0" collapsed="false">
      <c r="AC917" s="2"/>
      <c r="AD917" s="3"/>
    </row>
    <row r="918" customFormat="false" ht="15.75" hidden="false" customHeight="false" outlineLevel="0" collapsed="false">
      <c r="AC918" s="2"/>
      <c r="AD918" s="3"/>
    </row>
    <row r="919" customFormat="false" ht="15.75" hidden="false" customHeight="false" outlineLevel="0" collapsed="false">
      <c r="AC919" s="2"/>
      <c r="AD919" s="3"/>
    </row>
    <row r="920" customFormat="false" ht="15.75" hidden="false" customHeight="false" outlineLevel="0" collapsed="false">
      <c r="AC920" s="2"/>
      <c r="AD920" s="3"/>
    </row>
    <row r="921" customFormat="false" ht="15.75" hidden="false" customHeight="false" outlineLevel="0" collapsed="false">
      <c r="AC921" s="2"/>
      <c r="AD921" s="3"/>
    </row>
    <row r="922" customFormat="false" ht="15.75" hidden="false" customHeight="false" outlineLevel="0" collapsed="false">
      <c r="AC922" s="2"/>
      <c r="AD922" s="3"/>
    </row>
    <row r="923" customFormat="false" ht="15.75" hidden="false" customHeight="false" outlineLevel="0" collapsed="false">
      <c r="AC923" s="2"/>
      <c r="AD923" s="3"/>
    </row>
    <row r="924" customFormat="false" ht="15.75" hidden="false" customHeight="false" outlineLevel="0" collapsed="false">
      <c r="AC924" s="2"/>
      <c r="AD924" s="3"/>
    </row>
    <row r="925" customFormat="false" ht="15.75" hidden="false" customHeight="false" outlineLevel="0" collapsed="false">
      <c r="AC925" s="2"/>
      <c r="AD925" s="3"/>
    </row>
    <row r="926" customFormat="false" ht="15.75" hidden="false" customHeight="false" outlineLevel="0" collapsed="false">
      <c r="AC926" s="2"/>
      <c r="AD926" s="3"/>
    </row>
    <row r="927" customFormat="false" ht="15.75" hidden="false" customHeight="false" outlineLevel="0" collapsed="false">
      <c r="AC927" s="2"/>
      <c r="AD927" s="3"/>
    </row>
    <row r="928" customFormat="false" ht="15.75" hidden="false" customHeight="false" outlineLevel="0" collapsed="false">
      <c r="AC928" s="2"/>
      <c r="AD928" s="3"/>
    </row>
    <row r="929" customFormat="false" ht="15.75" hidden="false" customHeight="false" outlineLevel="0" collapsed="false">
      <c r="AC929" s="2"/>
      <c r="AD929" s="3"/>
    </row>
    <row r="930" customFormat="false" ht="15.75" hidden="false" customHeight="false" outlineLevel="0" collapsed="false">
      <c r="AC930" s="2"/>
      <c r="AD930" s="3"/>
    </row>
    <row r="931" customFormat="false" ht="15.75" hidden="false" customHeight="false" outlineLevel="0" collapsed="false">
      <c r="AC931" s="2"/>
      <c r="AD931" s="3"/>
    </row>
    <row r="932" customFormat="false" ht="15.75" hidden="false" customHeight="false" outlineLevel="0" collapsed="false">
      <c r="AC932" s="2"/>
      <c r="AD932" s="3"/>
    </row>
    <row r="933" customFormat="false" ht="15.75" hidden="false" customHeight="false" outlineLevel="0" collapsed="false">
      <c r="AC933" s="2"/>
      <c r="AD933" s="3"/>
    </row>
    <row r="934" customFormat="false" ht="15.75" hidden="false" customHeight="false" outlineLevel="0" collapsed="false">
      <c r="AC934" s="2"/>
      <c r="AD934" s="3"/>
    </row>
    <row r="935" customFormat="false" ht="15.75" hidden="false" customHeight="false" outlineLevel="0" collapsed="false">
      <c r="AC935" s="2"/>
      <c r="AD935" s="3"/>
    </row>
    <row r="936" customFormat="false" ht="15.75" hidden="false" customHeight="false" outlineLevel="0" collapsed="false">
      <c r="AC936" s="2"/>
      <c r="AD936" s="3"/>
    </row>
    <row r="937" customFormat="false" ht="15.75" hidden="false" customHeight="false" outlineLevel="0" collapsed="false">
      <c r="AC937" s="2"/>
      <c r="AD937" s="3"/>
    </row>
    <row r="938" customFormat="false" ht="15.75" hidden="false" customHeight="false" outlineLevel="0" collapsed="false">
      <c r="AC938" s="2"/>
      <c r="AD938" s="3"/>
    </row>
    <row r="939" customFormat="false" ht="15.75" hidden="false" customHeight="false" outlineLevel="0" collapsed="false">
      <c r="AC939" s="2"/>
      <c r="AD939" s="3"/>
    </row>
    <row r="940" customFormat="false" ht="15.75" hidden="false" customHeight="false" outlineLevel="0" collapsed="false">
      <c r="AC940" s="2"/>
      <c r="AD940" s="3"/>
    </row>
    <row r="941" customFormat="false" ht="15.75" hidden="false" customHeight="false" outlineLevel="0" collapsed="false">
      <c r="AC941" s="2"/>
      <c r="AD941" s="3"/>
    </row>
    <row r="942" customFormat="false" ht="15.75" hidden="false" customHeight="false" outlineLevel="0" collapsed="false">
      <c r="AC942" s="2"/>
      <c r="AD942" s="3"/>
    </row>
    <row r="943" customFormat="false" ht="15.75" hidden="false" customHeight="false" outlineLevel="0" collapsed="false">
      <c r="AC943" s="2"/>
      <c r="AD943" s="3"/>
    </row>
    <row r="944" customFormat="false" ht="15.75" hidden="false" customHeight="false" outlineLevel="0" collapsed="false">
      <c r="AC944" s="2"/>
      <c r="AD944" s="3"/>
    </row>
    <row r="945" customFormat="false" ht="15.75" hidden="false" customHeight="false" outlineLevel="0" collapsed="false">
      <c r="AC945" s="2"/>
      <c r="AD945" s="3"/>
    </row>
    <row r="946" customFormat="false" ht="15.75" hidden="false" customHeight="false" outlineLevel="0" collapsed="false">
      <c r="AC946" s="2"/>
      <c r="AD946" s="3"/>
    </row>
    <row r="947" customFormat="false" ht="15.75" hidden="false" customHeight="false" outlineLevel="0" collapsed="false">
      <c r="AC947" s="2"/>
      <c r="AD947" s="3"/>
    </row>
    <row r="948" customFormat="false" ht="15.75" hidden="false" customHeight="false" outlineLevel="0" collapsed="false">
      <c r="AC948" s="2"/>
      <c r="AD948" s="3"/>
    </row>
    <row r="949" customFormat="false" ht="15.75" hidden="false" customHeight="false" outlineLevel="0" collapsed="false">
      <c r="AC949" s="2"/>
      <c r="AD949" s="3"/>
    </row>
    <row r="950" customFormat="false" ht="15.75" hidden="false" customHeight="false" outlineLevel="0" collapsed="false">
      <c r="AC950" s="2"/>
      <c r="AD950" s="3"/>
    </row>
    <row r="951" customFormat="false" ht="15.75" hidden="false" customHeight="false" outlineLevel="0" collapsed="false">
      <c r="AC951" s="2"/>
      <c r="AD951" s="3"/>
    </row>
    <row r="952" customFormat="false" ht="15.75" hidden="false" customHeight="false" outlineLevel="0" collapsed="false">
      <c r="AC952" s="2"/>
      <c r="AD952" s="3"/>
    </row>
    <row r="953" customFormat="false" ht="15.75" hidden="false" customHeight="false" outlineLevel="0" collapsed="false">
      <c r="AC953" s="2"/>
      <c r="AD953" s="3"/>
    </row>
    <row r="954" customFormat="false" ht="15.75" hidden="false" customHeight="false" outlineLevel="0" collapsed="false">
      <c r="AC954" s="2"/>
      <c r="AD954" s="3"/>
    </row>
    <row r="955" customFormat="false" ht="15.75" hidden="false" customHeight="false" outlineLevel="0" collapsed="false">
      <c r="AC955" s="2"/>
      <c r="AD955" s="3"/>
    </row>
    <row r="956" customFormat="false" ht="15.75" hidden="false" customHeight="false" outlineLevel="0" collapsed="false">
      <c r="AC956" s="2"/>
      <c r="AD956" s="3"/>
    </row>
    <row r="957" customFormat="false" ht="15.75" hidden="false" customHeight="false" outlineLevel="0" collapsed="false">
      <c r="AC957" s="2"/>
      <c r="AD957" s="3"/>
    </row>
    <row r="958" customFormat="false" ht="15.75" hidden="false" customHeight="false" outlineLevel="0" collapsed="false">
      <c r="AC958" s="2"/>
      <c r="AD958" s="3"/>
    </row>
    <row r="959" customFormat="false" ht="15.75" hidden="false" customHeight="false" outlineLevel="0" collapsed="false">
      <c r="AC959" s="2"/>
      <c r="AD959" s="3"/>
    </row>
    <row r="960" customFormat="false" ht="15.75" hidden="false" customHeight="false" outlineLevel="0" collapsed="false">
      <c r="AC960" s="2"/>
      <c r="AD960" s="3"/>
    </row>
    <row r="961" customFormat="false" ht="15.75" hidden="false" customHeight="false" outlineLevel="0" collapsed="false">
      <c r="AC961" s="2"/>
      <c r="AD961" s="3"/>
    </row>
    <row r="962" customFormat="false" ht="15.75" hidden="false" customHeight="false" outlineLevel="0" collapsed="false">
      <c r="AC962" s="2"/>
      <c r="AD962" s="3"/>
    </row>
    <row r="963" customFormat="false" ht="15.75" hidden="false" customHeight="false" outlineLevel="0" collapsed="false">
      <c r="AC963" s="2"/>
      <c r="AD963" s="3"/>
    </row>
    <row r="964" customFormat="false" ht="15.75" hidden="false" customHeight="false" outlineLevel="0" collapsed="false">
      <c r="AC964" s="2"/>
      <c r="AD964" s="3"/>
    </row>
    <row r="965" customFormat="false" ht="15.75" hidden="false" customHeight="false" outlineLevel="0" collapsed="false">
      <c r="AC965" s="2"/>
      <c r="AD965" s="3"/>
    </row>
    <row r="966" customFormat="false" ht="15.75" hidden="false" customHeight="false" outlineLevel="0" collapsed="false">
      <c r="AC966" s="2"/>
      <c r="AD966" s="3"/>
    </row>
    <row r="967" customFormat="false" ht="15.75" hidden="false" customHeight="false" outlineLevel="0" collapsed="false">
      <c r="AC967" s="2"/>
      <c r="AD967" s="3"/>
    </row>
    <row r="968" customFormat="false" ht="15.75" hidden="false" customHeight="false" outlineLevel="0" collapsed="false">
      <c r="AC968" s="2"/>
      <c r="AD968" s="3"/>
    </row>
    <row r="969" customFormat="false" ht="15.75" hidden="false" customHeight="false" outlineLevel="0" collapsed="false">
      <c r="AC969" s="2"/>
      <c r="AD969" s="3"/>
    </row>
    <row r="970" customFormat="false" ht="15.75" hidden="false" customHeight="false" outlineLevel="0" collapsed="false">
      <c r="AC970" s="2"/>
      <c r="AD970" s="3"/>
    </row>
    <row r="971" customFormat="false" ht="15.75" hidden="false" customHeight="false" outlineLevel="0" collapsed="false">
      <c r="AC971" s="2"/>
      <c r="AD971" s="3"/>
    </row>
    <row r="972" customFormat="false" ht="15.75" hidden="false" customHeight="false" outlineLevel="0" collapsed="false">
      <c r="AC972" s="2"/>
      <c r="AD972" s="3"/>
    </row>
    <row r="973" customFormat="false" ht="15.75" hidden="false" customHeight="false" outlineLevel="0" collapsed="false">
      <c r="AC973" s="2"/>
      <c r="AD973" s="3"/>
    </row>
    <row r="974" customFormat="false" ht="15.75" hidden="false" customHeight="false" outlineLevel="0" collapsed="false">
      <c r="AC974" s="2"/>
      <c r="AD974" s="3"/>
    </row>
    <row r="975" customFormat="false" ht="15.75" hidden="false" customHeight="false" outlineLevel="0" collapsed="false">
      <c r="AC975" s="2"/>
      <c r="AD975" s="3"/>
    </row>
    <row r="976" customFormat="false" ht="15.75" hidden="false" customHeight="false" outlineLevel="0" collapsed="false">
      <c r="AC976" s="2"/>
      <c r="AD976" s="3"/>
    </row>
    <row r="977" customFormat="false" ht="15.75" hidden="false" customHeight="false" outlineLevel="0" collapsed="false">
      <c r="AC977" s="2"/>
      <c r="AD977" s="3"/>
    </row>
    <row r="978" customFormat="false" ht="15.75" hidden="false" customHeight="false" outlineLevel="0" collapsed="false">
      <c r="AC978" s="2"/>
      <c r="AD978" s="3"/>
    </row>
    <row r="979" customFormat="false" ht="15.75" hidden="false" customHeight="false" outlineLevel="0" collapsed="false">
      <c r="AC979" s="2"/>
      <c r="AD979" s="3"/>
    </row>
    <row r="980" customFormat="false" ht="15.75" hidden="false" customHeight="false" outlineLevel="0" collapsed="false">
      <c r="AC980" s="2"/>
      <c r="AD980" s="3"/>
    </row>
    <row r="981" customFormat="false" ht="15.75" hidden="false" customHeight="false" outlineLevel="0" collapsed="false">
      <c r="AC981" s="2"/>
      <c r="AD981" s="3"/>
    </row>
    <row r="982" customFormat="false" ht="15.75" hidden="false" customHeight="false" outlineLevel="0" collapsed="false">
      <c r="AC982" s="2"/>
      <c r="AD982" s="3"/>
    </row>
    <row r="983" customFormat="false" ht="15.75" hidden="false" customHeight="false" outlineLevel="0" collapsed="false">
      <c r="AC983" s="2"/>
      <c r="AD983" s="3"/>
    </row>
    <row r="984" customFormat="false" ht="15.75" hidden="false" customHeight="false" outlineLevel="0" collapsed="false">
      <c r="AC984" s="2"/>
      <c r="AD984" s="3"/>
    </row>
    <row r="985" customFormat="false" ht="15.75" hidden="false" customHeight="false" outlineLevel="0" collapsed="false">
      <c r="AC985" s="2"/>
      <c r="AD985" s="3"/>
    </row>
    <row r="986" customFormat="false" ht="15.75" hidden="false" customHeight="false" outlineLevel="0" collapsed="false">
      <c r="AC986" s="2"/>
      <c r="AD986" s="3"/>
    </row>
    <row r="987" customFormat="false" ht="15.75" hidden="false" customHeight="false" outlineLevel="0" collapsed="false">
      <c r="AC987" s="2"/>
      <c r="AD987" s="3"/>
    </row>
    <row r="988" customFormat="false" ht="15.75" hidden="false" customHeight="false" outlineLevel="0" collapsed="false">
      <c r="AC988" s="2"/>
      <c r="AD988" s="3"/>
    </row>
    <row r="989" customFormat="false" ht="15.75" hidden="false" customHeight="false" outlineLevel="0" collapsed="false">
      <c r="AC989" s="2"/>
      <c r="AD989" s="3"/>
    </row>
    <row r="990" customFormat="false" ht="15.75" hidden="false" customHeight="false" outlineLevel="0" collapsed="false">
      <c r="AC990" s="2"/>
      <c r="AD990" s="3"/>
    </row>
    <row r="991" customFormat="false" ht="15.75" hidden="false" customHeight="false" outlineLevel="0" collapsed="false">
      <c r="AC991" s="2"/>
      <c r="AD991" s="3"/>
    </row>
    <row r="992" customFormat="false" ht="15.75" hidden="false" customHeight="false" outlineLevel="0" collapsed="false">
      <c r="AC992" s="2"/>
      <c r="AD992" s="3"/>
    </row>
    <row r="993" customFormat="false" ht="15.75" hidden="false" customHeight="false" outlineLevel="0" collapsed="false">
      <c r="AC993" s="2"/>
      <c r="AD993" s="3"/>
    </row>
    <row r="994" customFormat="false" ht="15.75" hidden="false" customHeight="false" outlineLevel="0" collapsed="false">
      <c r="AC994" s="2"/>
      <c r="AD994" s="3"/>
    </row>
    <row r="995" customFormat="false" ht="15.75" hidden="false" customHeight="false" outlineLevel="0" collapsed="false">
      <c r="AC995" s="2"/>
      <c r="AD995" s="3"/>
    </row>
    <row r="996" customFormat="false" ht="15.75" hidden="false" customHeight="false" outlineLevel="0" collapsed="false">
      <c r="AC996" s="2"/>
      <c r="AD996" s="3"/>
    </row>
    <row r="997" customFormat="false" ht="15.75" hidden="false" customHeight="false" outlineLevel="0" collapsed="false">
      <c r="AC997" s="2"/>
      <c r="AD997" s="3"/>
    </row>
    <row r="998" customFormat="false" ht="15.75" hidden="false" customHeight="false" outlineLevel="0" collapsed="false">
      <c r="AC998" s="2"/>
      <c r="AD998" s="3"/>
    </row>
    <row r="999" customFormat="false" ht="15.75" hidden="false" customHeight="false" outlineLevel="0" collapsed="false">
      <c r="AC999" s="2"/>
      <c r="AD999" s="3"/>
    </row>
    <row r="1000" customFormat="false" ht="15.75" hidden="false" customHeight="false" outlineLevel="0" collapsed="false">
      <c r="AC1000" s="2"/>
      <c r="AD1000" s="3"/>
    </row>
    <row r="1001" customFormat="false" ht="15.75" hidden="false" customHeight="false" outlineLevel="0" collapsed="false">
      <c r="AC1001" s="2"/>
      <c r="AD1001" s="3"/>
    </row>
    <row r="1002" customFormat="false" ht="15.75" hidden="false" customHeight="false" outlineLevel="0" collapsed="false">
      <c r="AC1002" s="2"/>
      <c r="AD1002" s="3"/>
    </row>
    <row r="1003" customFormat="false" ht="15.75" hidden="false" customHeight="false" outlineLevel="0" collapsed="false">
      <c r="AC1003" s="2"/>
      <c r="AD1003" s="3"/>
    </row>
    <row r="1004" customFormat="false" ht="15.75" hidden="false" customHeight="false" outlineLevel="0" collapsed="false">
      <c r="AC1004" s="2"/>
      <c r="AD1004" s="3"/>
    </row>
    <row r="1005" customFormat="false" ht="15.75" hidden="false" customHeight="false" outlineLevel="0" collapsed="false">
      <c r="AC1005" s="2"/>
      <c r="AD1005" s="3"/>
    </row>
    <row r="1006" customFormat="false" ht="15.75" hidden="false" customHeight="false" outlineLevel="0" collapsed="false">
      <c r="AC1006" s="2"/>
      <c r="AD1006" s="3"/>
    </row>
    <row r="1007" customFormat="false" ht="15.75" hidden="false" customHeight="false" outlineLevel="0" collapsed="false">
      <c r="AC1007" s="2"/>
      <c r="AD1007" s="3"/>
    </row>
    <row r="1008" customFormat="false" ht="15.75" hidden="false" customHeight="false" outlineLevel="0" collapsed="false">
      <c r="AC1008" s="2"/>
      <c r="AD1008" s="3"/>
    </row>
    <row r="1009" customFormat="false" ht="15.75" hidden="false" customHeight="false" outlineLevel="0" collapsed="false">
      <c r="AC1009" s="2"/>
      <c r="AD1009" s="3"/>
    </row>
    <row r="1010" customFormat="false" ht="15.75" hidden="false" customHeight="false" outlineLevel="0" collapsed="false">
      <c r="AC1010" s="2"/>
      <c r="AD1010" s="3"/>
    </row>
    <row r="1011" customFormat="false" ht="15.75" hidden="false" customHeight="false" outlineLevel="0" collapsed="false">
      <c r="AC1011" s="2"/>
      <c r="AD1011" s="3"/>
    </row>
    <row r="1012" customFormat="false" ht="15.75" hidden="false" customHeight="false" outlineLevel="0" collapsed="false">
      <c r="AC1012" s="2"/>
      <c r="AD1012" s="3"/>
    </row>
    <row r="1013" customFormat="false" ht="15.75" hidden="false" customHeight="false" outlineLevel="0" collapsed="false">
      <c r="AC1013" s="2"/>
      <c r="AD1013" s="3"/>
    </row>
    <row r="1014" customFormat="false" ht="15.75" hidden="false" customHeight="false" outlineLevel="0" collapsed="false">
      <c r="AC1014" s="2"/>
      <c r="AD1014" s="3"/>
    </row>
    <row r="1015" customFormat="false" ht="15.75" hidden="false" customHeight="false" outlineLevel="0" collapsed="false">
      <c r="AC1015" s="2"/>
      <c r="AD1015" s="3"/>
    </row>
    <row r="1016" customFormat="false" ht="15.75" hidden="false" customHeight="false" outlineLevel="0" collapsed="false">
      <c r="AC1016" s="2"/>
      <c r="AD1016" s="3"/>
    </row>
    <row r="1017" customFormat="false" ht="15.75" hidden="false" customHeight="false" outlineLevel="0" collapsed="false">
      <c r="AC1017" s="2"/>
      <c r="AD1017" s="3"/>
    </row>
    <row r="1018" customFormat="false" ht="15.75" hidden="false" customHeight="false" outlineLevel="0" collapsed="false">
      <c r="AC1018" s="2"/>
      <c r="AD1018" s="3"/>
    </row>
    <row r="1019" customFormat="false" ht="15.75" hidden="false" customHeight="false" outlineLevel="0" collapsed="false">
      <c r="AC1019" s="2"/>
      <c r="AD1019" s="3"/>
    </row>
    <row r="1020" customFormat="false" ht="15.75" hidden="false" customHeight="false" outlineLevel="0" collapsed="false">
      <c r="AC1020" s="2"/>
      <c r="AD1020" s="3"/>
    </row>
    <row r="1021" customFormat="false" ht="15.75" hidden="false" customHeight="false" outlineLevel="0" collapsed="false">
      <c r="AC1021" s="2"/>
      <c r="AD1021" s="3"/>
    </row>
    <row r="1022" customFormat="false" ht="15.75" hidden="false" customHeight="false" outlineLevel="0" collapsed="false">
      <c r="AC1022" s="2"/>
      <c r="AD1022" s="3"/>
    </row>
    <row r="1023" customFormat="false" ht="15.75" hidden="false" customHeight="false" outlineLevel="0" collapsed="false">
      <c r="AC1023" s="2"/>
      <c r="AD1023" s="3"/>
    </row>
    <row r="1024" customFormat="false" ht="15.75" hidden="false" customHeight="false" outlineLevel="0" collapsed="false">
      <c r="AC1024" s="2"/>
      <c r="AD1024" s="3"/>
    </row>
    <row r="1025" customFormat="false" ht="15.75" hidden="false" customHeight="false" outlineLevel="0" collapsed="false">
      <c r="AC1025" s="2"/>
      <c r="AD1025" s="3"/>
    </row>
    <row r="1026" customFormat="false" ht="15.75" hidden="false" customHeight="false" outlineLevel="0" collapsed="false">
      <c r="AC1026" s="2"/>
      <c r="AD1026" s="3"/>
    </row>
    <row r="1027" customFormat="false" ht="15.75" hidden="false" customHeight="false" outlineLevel="0" collapsed="false">
      <c r="AC1027" s="2"/>
      <c r="AD1027" s="3"/>
    </row>
    <row r="1028" customFormat="false" ht="15.75" hidden="false" customHeight="false" outlineLevel="0" collapsed="false">
      <c r="AC1028" s="2"/>
      <c r="AD1028" s="3"/>
    </row>
    <row r="1029" customFormat="false" ht="15.75" hidden="false" customHeight="false" outlineLevel="0" collapsed="false">
      <c r="AC1029" s="2"/>
      <c r="AD1029" s="3"/>
    </row>
    <row r="1030" customFormat="false" ht="15.75" hidden="false" customHeight="false" outlineLevel="0" collapsed="false">
      <c r="AC1030" s="2"/>
      <c r="AD1030" s="3"/>
    </row>
    <row r="1031" customFormat="false" ht="15.75" hidden="false" customHeight="false" outlineLevel="0" collapsed="false">
      <c r="AC1031" s="2"/>
      <c r="AD1031" s="3"/>
    </row>
    <row r="1032" customFormat="false" ht="15.75" hidden="false" customHeight="false" outlineLevel="0" collapsed="false">
      <c r="AC1032" s="2"/>
      <c r="AD1032" s="3"/>
    </row>
    <row r="1033" customFormat="false" ht="15.75" hidden="false" customHeight="false" outlineLevel="0" collapsed="false">
      <c r="AC1033" s="2"/>
      <c r="AD1033" s="3"/>
    </row>
    <row r="1034" customFormat="false" ht="15.75" hidden="false" customHeight="false" outlineLevel="0" collapsed="false">
      <c r="AC1034" s="2"/>
      <c r="AD1034" s="3"/>
    </row>
    <row r="1035" customFormat="false" ht="15.75" hidden="false" customHeight="false" outlineLevel="0" collapsed="false">
      <c r="AC1035" s="2"/>
      <c r="AD1035" s="3"/>
    </row>
    <row r="1036" customFormat="false" ht="15.75" hidden="false" customHeight="false" outlineLevel="0" collapsed="false">
      <c r="AC1036" s="2"/>
      <c r="AD1036" s="3"/>
    </row>
    <row r="1037" customFormat="false" ht="15.75" hidden="false" customHeight="false" outlineLevel="0" collapsed="false">
      <c r="AC1037" s="2"/>
      <c r="AD1037" s="3"/>
    </row>
    <row r="1038" customFormat="false" ht="15.75" hidden="false" customHeight="false" outlineLevel="0" collapsed="false">
      <c r="AC1038" s="2"/>
      <c r="AD1038" s="3"/>
    </row>
    <row r="1039" customFormat="false" ht="15.75" hidden="false" customHeight="false" outlineLevel="0" collapsed="false">
      <c r="AC1039" s="2"/>
      <c r="AD1039" s="3"/>
    </row>
    <row r="1040" customFormat="false" ht="15.75" hidden="false" customHeight="false" outlineLevel="0" collapsed="false">
      <c r="AC1040" s="2"/>
      <c r="AD1040" s="3"/>
    </row>
    <row r="1041" customFormat="false" ht="15.75" hidden="false" customHeight="false" outlineLevel="0" collapsed="false">
      <c r="AC1041" s="2"/>
      <c r="AD1041" s="3"/>
    </row>
    <row r="1042" customFormat="false" ht="15.75" hidden="false" customHeight="false" outlineLevel="0" collapsed="false">
      <c r="AC1042" s="2"/>
      <c r="AD1042" s="3"/>
    </row>
    <row r="1043" customFormat="false" ht="15.75" hidden="false" customHeight="false" outlineLevel="0" collapsed="false">
      <c r="AC1043" s="2"/>
      <c r="AD1043" s="3"/>
    </row>
    <row r="1044" customFormat="false" ht="15.75" hidden="false" customHeight="false" outlineLevel="0" collapsed="false">
      <c r="AC1044" s="2"/>
      <c r="AD1044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5" activeCellId="0" sqref="P45"/>
    </sheetView>
  </sheetViews>
  <sheetFormatPr defaultColWidth="8.50781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2026-03-29T21:23:30Z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